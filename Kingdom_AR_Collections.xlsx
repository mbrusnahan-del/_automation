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ingdomstructural-my.sharepoint.com/personal/jbrusnahan_kingdomstructural_onmicrosoft_com/Documents/_Projects/_automation/"/>
    </mc:Choice>
  </mc:AlternateContent>
  <xr:revisionPtr revIDLastSave="64" documentId="11_69015854DD8C34B5C3DBCFBB98FF78737DD8F6CB" xr6:coauthVersionLast="47" xr6:coauthVersionMax="47" xr10:uidLastSave="{C6248375-B332-47F4-A98B-B837675DDEAC}"/>
  <bookViews>
    <workbookView minimized="1" xWindow="-24450" yWindow="-13080" windowWidth="21600" windowHeight="11295" tabRatio="500" firstSheet="2" activeTab="1" xr2:uid="{00000000-000D-0000-FFFF-FFFF00000000}"/>
  </bookViews>
  <sheets>
    <sheet name="Dashboard" sheetId="1" r:id="rId1"/>
    <sheet name="Collections" sheetId="2" r:id="rId2"/>
    <sheet name="All Invoices" sheetId="3" r:id="rId3"/>
    <sheet name="Aging by Client" sheetId="4" r:id="rId4"/>
    <sheet name="Activity Log" sheetId="5" r:id="rId5"/>
    <sheet name="DSO Tracker" sheetId="6" r:id="rId6"/>
    <sheet name="Playbook" sheetId="7" r:id="rId7"/>
  </sheets>
  <definedNames>
    <definedName name="_xlnm._FilterDatabase" localSheetId="2" hidden="1">'All Invoices'!$A$4:$H$59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7" i="6" l="1"/>
  <c r="E37" i="6" s="1"/>
  <c r="D36" i="6"/>
  <c r="E36" i="6" s="1"/>
  <c r="D35" i="6"/>
  <c r="E35" i="6" s="1"/>
  <c r="D34" i="6"/>
  <c r="E34" i="6" s="1"/>
  <c r="D33" i="6"/>
  <c r="E33" i="6" s="1"/>
  <c r="D32" i="6"/>
  <c r="E32" i="6" s="1"/>
  <c r="D31" i="6"/>
  <c r="E31" i="6" s="1"/>
  <c r="D30" i="6"/>
  <c r="E30" i="6" s="1"/>
  <c r="D29" i="6"/>
  <c r="E29" i="6" s="1"/>
  <c r="D28" i="6"/>
  <c r="E28" i="6" s="1"/>
  <c r="D27" i="6"/>
  <c r="E27" i="6" s="1"/>
  <c r="D26" i="6"/>
  <c r="E26" i="6" s="1"/>
  <c r="D25" i="6"/>
  <c r="E25" i="6" s="1"/>
  <c r="D24" i="6"/>
  <c r="E24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E18" i="6" s="1"/>
  <c r="D17" i="6"/>
  <c r="E17" i="6" s="1"/>
  <c r="D16" i="6"/>
  <c r="E16" i="6" s="1"/>
  <c r="D15" i="6"/>
  <c r="E15" i="6" s="1"/>
  <c r="D14" i="6"/>
  <c r="E14" i="6" s="1"/>
  <c r="D13" i="6"/>
  <c r="H35" i="4"/>
  <c r="G35" i="4"/>
  <c r="F35" i="4"/>
  <c r="E35" i="4"/>
  <c r="D35" i="4"/>
  <c r="C35" i="4"/>
  <c r="B35" i="4"/>
  <c r="F60" i="3"/>
  <c r="F41" i="2"/>
  <c r="C14" i="1"/>
  <c r="B14" i="1"/>
  <c r="D14" i="1" s="1"/>
  <c r="C13" i="1"/>
  <c r="B13" i="1"/>
  <c r="C12" i="1"/>
  <c r="B12" i="1"/>
  <c r="C11" i="1"/>
  <c r="B11" i="1"/>
  <c r="C10" i="1"/>
  <c r="B10" i="1"/>
  <c r="E5" i="1"/>
  <c r="C5" i="1"/>
  <c r="A5" i="1"/>
  <c r="B19" i="1" s="1"/>
  <c r="B20" i="1" s="1"/>
  <c r="D10" i="1" l="1"/>
  <c r="D11" i="1"/>
  <c r="D12" i="1"/>
  <c r="D13" i="1"/>
</calcChain>
</file>

<file path=xl/sharedStrings.xml><?xml version="1.0" encoding="utf-8"?>
<sst xmlns="http://schemas.openxmlformats.org/spreadsheetml/2006/main" count="693" uniqueCount="359">
  <si>
    <t>Kingdom Structural — AR Dashboard</t>
  </si>
  <si>
    <t>Updated: May 7, 2026   |   Re-paste data from Novo into 'All Invoices' tab to refresh</t>
  </si>
  <si>
    <t>TOTAL OUTSTANDING</t>
  </si>
  <si>
    <t>OVERDUE</t>
  </si>
  <si>
    <t>NOT YET DUE</t>
  </si>
  <si>
    <t>AGING BUCKET BREAKDOWN</t>
  </si>
  <si>
    <t>Bucket</t>
  </si>
  <si>
    <t>$ Total</t>
  </si>
  <si>
    <t># Invoices</t>
  </si>
  <si>
    <t>% of AR</t>
  </si>
  <si>
    <t>Not yet due</t>
  </si>
  <si>
    <t>1-30 days</t>
  </si>
  <si>
    <t>31-60 days</t>
  </si>
  <si>
    <t>61-90 days</t>
  </si>
  <si>
    <t>90+ days</t>
  </si>
  <si>
    <t>DSO (Days Sales Outstanding)</t>
  </si>
  <si>
    <t>Annual revenue (input — pull from books)</t>
  </si>
  <si>
    <t>Outstanding AR</t>
  </si>
  <si>
    <t>DSO</t>
  </si>
  <si>
    <t>Industry benchmark (engineering): 35-50 days good, 50-65 average, 65+ concerning</t>
  </si>
  <si>
    <t>TOP CONCERNS — work today</t>
  </si>
  <si>
    <t>Marcellus &amp; Associates inv #0282</t>
  </si>
  <si>
    <t>$6,200 — 123 days overdue. CALL TODAY.</t>
  </si>
  <si>
    <t>CMDA Design Bureau inv #0309</t>
  </si>
  <si>
    <t>$1,200 — 70 days overdue. CALL TODAY.</t>
  </si>
  <si>
    <t>Ramon Design Group</t>
  </si>
  <si>
    <t>5 invoices, $7,500 overdue. Pattern client — Net 15 going forward.</t>
  </si>
  <si>
    <t>FFKR Architects</t>
  </si>
  <si>
    <t>$9,300 overdue + $10,822 unpaid. One phone call covers all.</t>
  </si>
  <si>
    <t>United Structural Design LLC</t>
  </si>
  <si>
    <t>WHALE: $25,200 unpaid coming due + $2,130 already overdue.</t>
  </si>
  <si>
    <t>Asset Living</t>
  </si>
  <si>
    <t>5 invoices, $4,462 overdue. Same pattern — change terms.</t>
  </si>
  <si>
    <t>TAB GUIDE</t>
  </si>
  <si>
    <t>Dashboard</t>
  </si>
  <si>
    <t>This page — top-line metrics and concerns</t>
  </si>
  <si>
    <t>Collections</t>
  </si>
  <si>
    <t>Prioritized action list — work top to bottom</t>
  </si>
  <si>
    <t>All Invoices</t>
  </si>
  <si>
    <t>Master list of every open invoice. Update by re-pasting Novo export.</t>
  </si>
  <si>
    <t>Aging by Client</t>
  </si>
  <si>
    <t>Pivot showing total owed per client across aging buckets</t>
  </si>
  <si>
    <t>Activity Log</t>
  </si>
  <si>
    <t>Track every collection action: when contacted, response, next step</t>
  </si>
  <si>
    <t>DSO Tracker</t>
  </si>
  <si>
    <t>Monthly DSO log — see trend over time</t>
  </si>
  <si>
    <t>Playbook</t>
  </si>
  <si>
    <t>Standard AR process and timing reference</t>
  </si>
  <si>
    <t>ACCOUNTS RECEIVABLE — collections priority</t>
  </si>
  <si>
    <t>Total outstanding ≈ $151,213. Overdue ≈ $55,224. Source: Novo as of May 7, 2026.</t>
  </si>
  <si>
    <t>AR SUMMARY</t>
  </si>
  <si>
    <t>Total outstanding</t>
  </si>
  <si>
    <t>29 unpaid + 26 overdue</t>
  </si>
  <si>
    <t>Overdue 90+ days (P0)</t>
  </si>
  <si>
    <t>1 invoice</t>
  </si>
  <si>
    <t>Overdue 60-90 days (P0)</t>
  </si>
  <si>
    <t>Overdue 30-60 days (P1)</t>
  </si>
  <si>
    <t>9 invoices</t>
  </si>
  <si>
    <t>Overdue 1-30 days (P2)</t>
  </si>
  <si>
    <t>15 invoices</t>
  </si>
  <si>
    <t>Not yet due (watch)</t>
  </si>
  <si>
    <t>29 invoices</t>
  </si>
  <si>
    <t>OVERDUE INVOICES — work top to bottom</t>
  </si>
  <si>
    <t>Priority</t>
  </si>
  <si>
    <t>Invoice</t>
  </si>
  <si>
    <t>Client</t>
  </si>
  <si>
    <t>Issue Date</t>
  </si>
  <si>
    <t>Days Late</t>
  </si>
  <si>
    <t>Amount</t>
  </si>
  <si>
    <t>Action</t>
  </si>
  <si>
    <t>P0</t>
  </si>
  <si>
    <t>#0264</t>
  </si>
  <si>
    <t>90+</t>
  </si>
  <si>
    <t>#0282</t>
  </si>
  <si>
    <t>Marcellus &amp; Associates</t>
  </si>
  <si>
    <t>CALL TODAY. Collections agency in 7 days if no response.</t>
  </si>
  <si>
    <t>#0308</t>
  </si>
  <si>
    <t>CMDA Design Bureau</t>
  </si>
  <si>
    <t>Jan 26</t>
  </si>
  <si>
    <t>60-90</t>
  </si>
  <si>
    <t>CALL TODAY. Final notice email.</t>
  </si>
  <si>
    <t>#0314</t>
  </si>
  <si>
    <t>P1</t>
  </si>
  <si>
    <t>#0323</t>
  </si>
  <si>
    <t>Feb 12</t>
  </si>
  <si>
    <t>30-60</t>
  </si>
  <si>
    <t>Phone + 3rd notice this week</t>
  </si>
  <si>
    <t>#0327</t>
  </si>
  <si>
    <t>Feb 19</t>
  </si>
  <si>
    <t>3rd notice</t>
  </si>
  <si>
    <t>#0328</t>
  </si>
  <si>
    <t>AX3 Construction</t>
  </si>
  <si>
    <t>#0294</t>
  </si>
  <si>
    <t>Designtank</t>
  </si>
  <si>
    <t>Phone</t>
  </si>
  <si>
    <t>#0317</t>
  </si>
  <si>
    <t>Flag Ranch Self Storage</t>
  </si>
  <si>
    <t>Feb 22</t>
  </si>
  <si>
    <t>Phone + 3rd notice</t>
  </si>
  <si>
    <t>#0330</t>
  </si>
  <si>
    <t>Feb 24</t>
  </si>
  <si>
    <t>#0340</t>
  </si>
  <si>
    <t>Feb 26</t>
  </si>
  <si>
    <t>#0322</t>
  </si>
  <si>
    <t>CHB Architects</t>
  </si>
  <si>
    <t>Feb 27</t>
  </si>
  <si>
    <t>#0342</t>
  </si>
  <si>
    <t>Andy Kunasek</t>
  </si>
  <si>
    <t>Mar 03</t>
  </si>
  <si>
    <t>P2</t>
  </si>
  <si>
    <t>#0349</t>
  </si>
  <si>
    <t>David Garcia Acosta</t>
  </si>
  <si>
    <t>Mar 10</t>
  </si>
  <si>
    <t>1-30</t>
  </si>
  <si>
    <t>2nd notice — large amount</t>
  </si>
  <si>
    <t>#0355</t>
  </si>
  <si>
    <t>Thom Vehon</t>
  </si>
  <si>
    <t>Mar 12</t>
  </si>
  <si>
    <t>2nd notice</t>
  </si>
  <si>
    <t>#0357</t>
  </si>
  <si>
    <t>Mar 17</t>
  </si>
  <si>
    <t>#0358</t>
  </si>
  <si>
    <t>#0359</t>
  </si>
  <si>
    <t>Mar 20</t>
  </si>
  <si>
    <t>2nd notice — pattern</t>
  </si>
  <si>
    <t>#0362</t>
  </si>
  <si>
    <t>A &amp; E Design Group LLC</t>
  </si>
  <si>
    <t>#0363</t>
  </si>
  <si>
    <t>Mar 24</t>
  </si>
  <si>
    <t>2nd notice — LARGEST P2</t>
  </si>
  <si>
    <t>#0365</t>
  </si>
  <si>
    <t>Mar 25</t>
  </si>
  <si>
    <t>Mar 26</t>
  </si>
  <si>
    <t>2nd notice — verify inv #</t>
  </si>
  <si>
    <t>#0373</t>
  </si>
  <si>
    <t>#0377</t>
  </si>
  <si>
    <t>Mar 30</t>
  </si>
  <si>
    <t>#0379</t>
  </si>
  <si>
    <t>Kirk Development Company</t>
  </si>
  <si>
    <t>Apr 02</t>
  </si>
  <si>
    <t>1st notice</t>
  </si>
  <si>
    <t>#0381</t>
  </si>
  <si>
    <t>CM Associates Engineers</t>
  </si>
  <si>
    <t>Apr 07</t>
  </si>
  <si>
    <t>TOTAL OVERDUE</t>
  </si>
  <si>
    <t>REPEAT-OFFENDER CLIENTS</t>
  </si>
  <si>
    <t>4 overdue totaling $7,500 — pattern. Net-15 or 25% deposit going forward.</t>
  </si>
  <si>
    <t>4 overdue totaling $3,679 — pattern. Same approach.</t>
  </si>
  <si>
    <t>2 overdue ($9,300) + unpaid ($10,822) — single POC, one phone call.</t>
  </si>
  <si>
    <t>United Struct Design LLC</t>
  </si>
  <si>
    <t>2 overdue ($2,130) + 2 large unpaid ($25,200) — WHALE; careful but firm.</t>
  </si>
  <si>
    <t>2 overdue totaling $9,000 (one 4+ months old) — highest risk; lawyer letter ready.</t>
  </si>
  <si>
    <t>PROCESS IMPROVEMENTS — fix the leak</t>
  </si>
  <si>
    <t>1.  Assign one AR owner. 30-min weekly review (Friday).</t>
  </si>
  <si>
    <t>2.  Auto-send 1st reminder 3 days BEFORE due date (Novo can do this).</t>
  </si>
  <si>
    <t>3.  Day 1 overdue: 2nd reminder.</t>
  </si>
  <si>
    <t>4.  Day 7 overdue: 3rd reminder + phone call within 48 hrs.</t>
  </si>
  <si>
    <t>5.  Day 30: firm notice mentioning late fees / collections / credit hold.</t>
  </si>
  <si>
    <t>6.  Day 60: lawyer letter or collections referral.</t>
  </si>
  <si>
    <t>7.  Add 1.5%/mo late fee clause to all new contracts (attorney review).</t>
  </si>
  <si>
    <t>8.  Repeat offenders → 25-50% deposit OR Net 15 going forward.</t>
  </si>
  <si>
    <t>9.  Track Days Sales Outstanding (DSO) monthly.</t>
  </si>
  <si>
    <t>ALL OPEN INVOICES — master list</t>
  </si>
  <si>
    <t>Source: Novo invoice export. Update by re-pasting CSV. As of May 7, 2026.</t>
  </si>
  <si>
    <t>Status</t>
  </si>
  <si>
    <t>Days</t>
  </si>
  <si>
    <t>Aging Bucket</t>
  </si>
  <si>
    <t>Notes</t>
  </si>
  <si>
    <t>#0419</t>
  </si>
  <si>
    <t>2026-05-06</t>
  </si>
  <si>
    <t>Due</t>
  </si>
  <si>
    <t>#0418</t>
  </si>
  <si>
    <t>#0417</t>
  </si>
  <si>
    <t>2026-05-04</t>
  </si>
  <si>
    <t>#0414</t>
  </si>
  <si>
    <t>#0413</t>
  </si>
  <si>
    <t>Vivian Alaya Lopez</t>
  </si>
  <si>
    <t>2026-05-05</t>
  </si>
  <si>
    <t>#0412</t>
  </si>
  <si>
    <t>Murata Machinery USA Inc</t>
  </si>
  <si>
    <t>2026-04-30</t>
  </si>
  <si>
    <t>#0411</t>
  </si>
  <si>
    <t>#0410</t>
  </si>
  <si>
    <t>#0409</t>
  </si>
  <si>
    <t>Kevin Jackson</t>
  </si>
  <si>
    <t>2026-04-29</t>
  </si>
  <si>
    <t>#0408</t>
  </si>
  <si>
    <t>ERG, LLC</t>
  </si>
  <si>
    <t>#0407</t>
  </si>
  <si>
    <t>#0406</t>
  </si>
  <si>
    <t>JE Fuller Hydrology &amp; Geomorphology</t>
  </si>
  <si>
    <t>#0405</t>
  </si>
  <si>
    <t>Speedwell Construction INC</t>
  </si>
  <si>
    <t>#0404</t>
  </si>
  <si>
    <t>#0402</t>
  </si>
  <si>
    <t>#0401</t>
  </si>
  <si>
    <t>Trevor Pan Architects</t>
  </si>
  <si>
    <t>#0400</t>
  </si>
  <si>
    <t>D&amp;E Services Inc</t>
  </si>
  <si>
    <t>2026-04-28</t>
  </si>
  <si>
    <t>#0399</t>
  </si>
  <si>
    <t>Krista R Corporations</t>
  </si>
  <si>
    <t>#0398</t>
  </si>
  <si>
    <t>#0397</t>
  </si>
  <si>
    <t>#0395</t>
  </si>
  <si>
    <t>AHGUEST</t>
  </si>
  <si>
    <t>2026-04-23</t>
  </si>
  <si>
    <t>#0394</t>
  </si>
  <si>
    <t>D. Alan Roberts</t>
  </si>
  <si>
    <t>2026-04-22</t>
  </si>
  <si>
    <t>#0392</t>
  </si>
  <si>
    <t>#0391</t>
  </si>
  <si>
    <t>#0390</t>
  </si>
  <si>
    <t>Camden Living</t>
  </si>
  <si>
    <t>2026-04-21</t>
  </si>
  <si>
    <t>#0389</t>
  </si>
  <si>
    <t>2026-04-20</t>
  </si>
  <si>
    <t>#0387</t>
  </si>
  <si>
    <t>Blackbird Design</t>
  </si>
  <si>
    <t>2026-04-16</t>
  </si>
  <si>
    <t>#0386</t>
  </si>
  <si>
    <t>#0385</t>
  </si>
  <si>
    <t>#0384</t>
  </si>
  <si>
    <t>Global Construction</t>
  </si>
  <si>
    <t>2026-04-13</t>
  </si>
  <si>
    <t>Overdue</t>
  </si>
  <si>
    <t>#0382</t>
  </si>
  <si>
    <t>2026-04-12</t>
  </si>
  <si>
    <t>CM Associates Engineers PLLC</t>
  </si>
  <si>
    <t>2026-04-07</t>
  </si>
  <si>
    <t>2026-04-02</t>
  </si>
  <si>
    <t>2026-03-30</t>
  </si>
  <si>
    <t>#0375</t>
  </si>
  <si>
    <t>2026-03-26</t>
  </si>
  <si>
    <t>2026-03-25</t>
  </si>
  <si>
    <t>2026-03-24</t>
  </si>
  <si>
    <t>2026-03-20</t>
  </si>
  <si>
    <t>2026-03-17</t>
  </si>
  <si>
    <t>2026-03-12</t>
  </si>
  <si>
    <t>2026-03-10</t>
  </si>
  <si>
    <t>2026-03-03</t>
  </si>
  <si>
    <t>2026-02-26</t>
  </si>
  <si>
    <t>2026-02-24</t>
  </si>
  <si>
    <t>2026-02-19</t>
  </si>
  <si>
    <t>#0325</t>
  </si>
  <si>
    <t>2026-02-12</t>
  </si>
  <si>
    <t>2026-02-27</t>
  </si>
  <si>
    <t>2026-02-22</t>
  </si>
  <si>
    <t>2026-02-21</t>
  </si>
  <si>
    <t>#0309</t>
  </si>
  <si>
    <t>2026-01-26</t>
  </si>
  <si>
    <t>2026-01-05</t>
  </si>
  <si>
    <t>TOTAL</t>
  </si>
  <si>
    <t>AGING BY CLIENT</t>
  </si>
  <si>
    <t>Each row is a client. Columns are aging buckets. Sorted by total outstanding.</t>
  </si>
  <si>
    <t># Inv</t>
  </si>
  <si>
    <t>ACTIVITY LOG</t>
  </si>
  <si>
    <t>Track every collection touchpoint: when, who, what was said, response, next step. Append rows as you go.</t>
  </si>
  <si>
    <t>Date</t>
  </si>
  <si>
    <t>Invoice #</t>
  </si>
  <si>
    <t>Action Type</t>
  </si>
  <si>
    <t>Contact Method</t>
  </si>
  <si>
    <t>Outcome</t>
  </si>
  <si>
    <t>Promised Pay Date</t>
  </si>
  <si>
    <t>Next Step / Owner</t>
  </si>
  <si>
    <t>EXAMPLE →</t>
  </si>
  <si>
    <t>Phone call</t>
  </si>
  <si>
    <t>Promised by date</t>
  </si>
  <si>
    <t>2026-05-15</t>
  </si>
  <si>
    <t>Send confirmation email today; follow up if not paid by 5/15</t>
  </si>
  <si>
    <t>DSO TRACKER — monthly trend</t>
  </si>
  <si>
    <t>Log AR + revenue at month-end. DSO = (AR ÷ Revenue) × 365. Track trend over time.</t>
  </si>
  <si>
    <t>BENCHMARKS (engineering services)</t>
  </si>
  <si>
    <t>Excellent</t>
  </si>
  <si>
    <t>&lt; 35 days</t>
  </si>
  <si>
    <t>Best-in-class collection process</t>
  </si>
  <si>
    <t>Good</t>
  </si>
  <si>
    <t>35-50 days</t>
  </si>
  <si>
    <t>Industry standard</t>
  </si>
  <si>
    <t>Average</t>
  </si>
  <si>
    <t>50-65 days</t>
  </si>
  <si>
    <t>Most engineering firms</t>
  </si>
  <si>
    <t>Concerning</t>
  </si>
  <si>
    <t>65-85 days</t>
  </si>
  <si>
    <t>AR process needs work</t>
  </si>
  <si>
    <t>Crisis</t>
  </si>
  <si>
    <t>85+ days</t>
  </si>
  <si>
    <t>Restructure terms / late fees / deposits</t>
  </si>
  <si>
    <t>MONTHLY LOG</t>
  </si>
  <si>
    <t>Month-End</t>
  </si>
  <si>
    <t>Trailing 12mo Revenue</t>
  </si>
  <si>
    <t>DSO (days)</t>
  </si>
  <si>
    <t>vs. Last Month</t>
  </si>
  <si>
    <t>—</t>
  </si>
  <si>
    <t>Baseline. Update revenue figure with actual.</t>
  </si>
  <si>
    <t>AR COLLECTIONS PLAYBOOK</t>
  </si>
  <si>
    <t>The standard process. Don't deviate without reason.</t>
  </si>
  <si>
    <t>TIMELINE — what happens when</t>
  </si>
  <si>
    <t>Day</t>
  </si>
  <si>
    <t>Method</t>
  </si>
  <si>
    <t>Template</t>
  </si>
  <si>
    <t>Owner</t>
  </si>
  <si>
    <t>Day 0</t>
  </si>
  <si>
    <t>Invoice issued</t>
  </si>
  <si>
    <t>Novo</t>
  </si>
  <si>
    <t>Project lead</t>
  </si>
  <si>
    <t>Day -3</t>
  </si>
  <si>
    <t>Pre-due reminder</t>
  </si>
  <si>
    <t>Email auto</t>
  </si>
  <si>
    <t>Template 1</t>
  </si>
  <si>
    <t>Auto</t>
  </si>
  <si>
    <t>Day +1</t>
  </si>
  <si>
    <t>1st overdue notice</t>
  </si>
  <si>
    <t>Email</t>
  </si>
  <si>
    <t>Template 2</t>
  </si>
  <si>
    <t>AR owner</t>
  </si>
  <si>
    <t>Day +14</t>
  </si>
  <si>
    <t>2nd overdue notice</t>
  </si>
  <si>
    <t>Template 3</t>
  </si>
  <si>
    <t>Day +21</t>
  </si>
  <si>
    <t>Phone script</t>
  </si>
  <si>
    <t>Day +30</t>
  </si>
  <si>
    <t>3rd / firm notice</t>
  </si>
  <si>
    <t>Template 4</t>
  </si>
  <si>
    <t>Day +45</t>
  </si>
  <si>
    <t>Project hold + escalation</t>
  </si>
  <si>
    <t>Phone+Email</t>
  </si>
  <si>
    <t>Owner / Michael</t>
  </si>
  <si>
    <t>Day +60</t>
  </si>
  <si>
    <t>Final notice (certified mail)</t>
  </si>
  <si>
    <t>Mail+Email</t>
  </si>
  <si>
    <t>Template 5</t>
  </si>
  <si>
    <t>Day +75</t>
  </si>
  <si>
    <t>Lawyer letter</t>
  </si>
  <si>
    <t>Mail</t>
  </si>
  <si>
    <t>Attorney drafted</t>
  </si>
  <si>
    <t>Attorney</t>
  </si>
  <si>
    <t>Day +90</t>
  </si>
  <si>
    <t>Collections agency referral</t>
  </si>
  <si>
    <t>Per agency</t>
  </si>
  <si>
    <t>RULES OF ENGAGEMENT</t>
  </si>
  <si>
    <t>1.  Always document in 'Activity Log'. Within 30 minutes of any call/email.</t>
  </si>
  <si>
    <t>2.  Never threaten what you won't follow through on.</t>
  </si>
  <si>
    <t>3.  After any phone commitment: send a confirmation email within 30 minutes recapping date + amount.</t>
  </si>
  <si>
    <t>4.  If a client says 'check is in the mail' twice without it arriving — escalate immediately.</t>
  </si>
  <si>
    <t>5.  Repeat offenders (3+ overdue invoices in 12 months) → require 25% deposit OR Net 15 going forward.</t>
  </si>
  <si>
    <t>6.  Never extend new credit to a client with anything 60+ days overdue. Hold their next project until cleared.</t>
  </si>
  <si>
    <t>7.  Late fees apply automatically per contract (1.5%/mo). Don't waive without manager approval.</t>
  </si>
  <si>
    <t>8.  Disputes are different from non-payment. Resolve fast. A disputed invoice is the AR owner's #1 priority.</t>
  </si>
  <si>
    <t>9.  Don't argue on the phone. Listen, get a commitment, document, escalate if needed.</t>
  </si>
  <si>
    <t>HOW TO REFRESH THIS WORKBOOK</t>
  </si>
  <si>
    <t>1.  Log into Novo → Invoices → filter to Unpaid.</t>
  </si>
  <si>
    <t>2.  Export CSV (top right of invoice list).</t>
  </si>
  <si>
    <t>3.  Open the CSV. Copy invoice rows.</t>
  </si>
  <si>
    <t>4.  Paste into the 'All Invoices' tab here, replacing the existing rows.</t>
  </si>
  <si>
    <t>5.  Update the Status column (Due / Overdue) and Days column based on each invoice.</t>
  </si>
  <si>
    <t>6.  Aging Bucket column auto-calculates based on Status + Days.</t>
  </si>
  <si>
    <t>7.  Dashboard, Aging by Client, and Collections will update automatically from the new data.</t>
  </si>
  <si>
    <t>8.  Update DSO Tracker monthly — log AR + revenue at each month-end.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</si>
</sst>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;&quot;($&quot;#,##0.00\);\-"/>
    <numFmt numFmtId="165" formatCode="0.0%"/>
    <numFmt numFmtId="166" formatCode="0&quot; days&quot;"/>
    <numFmt numFmtId="167" formatCode="\$#,##0.00"/>
    <numFmt numFmtId="168" formatCode="\+0&quot; days&quot;;\-0&quot; days&quot;;\—"/>
    <numFmt numFmtId="178" formatCode="mm/dd/yy;@"/>
  </numFmts>
  <fonts count="15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9"/>
      <color rgb="FF595959"/>
      <name val="Arial"/>
      <charset val="1"/>
    </font>
    <font>
      <b/>
      <sz val="10"/>
      <color rgb="FF1F4E78"/>
      <name val="Arial"/>
      <charset val="1"/>
    </font>
    <font>
      <b/>
      <sz val="22"/>
      <color rgb="FF1F4E78"/>
      <name val="Arial"/>
      <charset val="1"/>
    </font>
    <font>
      <b/>
      <sz val="22"/>
      <color rgb="FFC00000"/>
      <name val="Arial"/>
      <charset val="1"/>
    </font>
    <font>
      <b/>
      <sz val="22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2"/>
      <color rgb="FF1F4E78"/>
      <name val="Arial"/>
      <charset val="1"/>
    </font>
    <font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0" fillId="9" borderId="0" xfId="0" applyFont="1" applyFill="1"/>
    <xf numFmtId="0" fontId="10" fillId="0" borderId="0" xfId="0" applyFont="1"/>
    <xf numFmtId="0" fontId="2" fillId="0" borderId="0" xfId="0" applyFont="1"/>
    <xf numFmtId="0" fontId="8" fillId="2" borderId="0" xfId="0" applyFont="1" applyFill="1" applyAlignment="1">
      <alignment horizontal="center"/>
    </xf>
    <xf numFmtId="0" fontId="8" fillId="4" borderId="0" xfId="0" applyFont="1" applyFill="1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8" fillId="5" borderId="0" xfId="0" applyFont="1" applyFill="1"/>
    <xf numFmtId="0" fontId="8" fillId="6" borderId="0" xfId="0" applyFont="1" applyFill="1"/>
    <xf numFmtId="0" fontId="9" fillId="7" borderId="0" xfId="0" applyFont="1" applyFill="1"/>
    <xf numFmtId="164" fontId="11" fillId="8" borderId="0" xfId="0" applyNumberFormat="1" applyFont="1" applyFill="1"/>
    <xf numFmtId="164" fontId="12" fillId="0" borderId="0" xfId="0" applyNumberFormat="1" applyFont="1"/>
    <xf numFmtId="0" fontId="8" fillId="0" borderId="0" xfId="0" applyFont="1"/>
    <xf numFmtId="166" fontId="8" fillId="0" borderId="0" xfId="0" applyNumberFormat="1" applyFont="1"/>
    <xf numFmtId="167" fontId="8" fillId="0" borderId="0" xfId="0" applyNumberFormat="1" applyFont="1"/>
    <xf numFmtId="0" fontId="10" fillId="6" borderId="0" xfId="0" applyFont="1" applyFill="1"/>
    <xf numFmtId="0" fontId="10" fillId="5" borderId="0" xfId="0" applyFont="1" applyFill="1"/>
    <xf numFmtId="0" fontId="8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5" borderId="0" xfId="0" applyFill="1"/>
    <xf numFmtId="167" fontId="8" fillId="5" borderId="0" xfId="0" applyNumberFormat="1" applyFont="1" applyFill="1"/>
    <xf numFmtId="0" fontId="7" fillId="3" borderId="0" xfId="0" applyFont="1" applyFill="1" applyAlignment="1">
      <alignment horizontal="center"/>
    </xf>
    <xf numFmtId="164" fontId="8" fillId="5" borderId="0" xfId="0" applyNumberFormat="1" applyFont="1" applyFill="1"/>
    <xf numFmtId="0" fontId="7" fillId="3" borderId="0" xfId="0" applyFont="1" applyFill="1" applyAlignment="1">
      <alignment horizontal="center" wrapText="1"/>
    </xf>
    <xf numFmtId="164" fontId="0" fillId="5" borderId="0" xfId="0" applyNumberFormat="1" applyFill="1"/>
    <xf numFmtId="164" fontId="8" fillId="0" borderId="0" xfId="0" applyNumberFormat="1" applyFont="1"/>
    <xf numFmtId="164" fontId="0" fillId="6" borderId="0" xfId="0" applyNumberFormat="1" applyFill="1"/>
    <xf numFmtId="164" fontId="9" fillId="7" borderId="0" xfId="0" applyNumberFormat="1" applyFont="1" applyFill="1"/>
    <xf numFmtId="0" fontId="0" fillId="5" borderId="0" xfId="0" applyFill="1" applyAlignment="1">
      <alignment horizontal="center"/>
    </xf>
    <xf numFmtId="0" fontId="2" fillId="9" borderId="0" xfId="0" applyFont="1" applyFill="1"/>
    <xf numFmtId="0" fontId="11" fillId="8" borderId="0" xfId="0" applyFont="1" applyFill="1"/>
    <xf numFmtId="166" fontId="0" fillId="0" borderId="0" xfId="0" applyNumberFormat="1"/>
    <xf numFmtId="168" fontId="0" fillId="0" borderId="0" xfId="0" applyNumberFormat="1"/>
    <xf numFmtId="0" fontId="10" fillId="9" borderId="0" xfId="0" applyFont="1" applyFill="1" applyAlignment="1">
      <alignment wrapText="1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0" borderId="0" xfId="0" applyFont="1" applyAlignment="1">
      <alignment wrapText="1"/>
    </xf>
    <xf numFmtId="0" fontId="14" fillId="0" borderId="0" xfId="0" applyFont="1"/>
    <xf numFmtId="16" fontId="10" fillId="0" borderId="0" xfId="0" applyNumberFormat="1" applyFont="1" applyAlignment="1">
      <alignment horizontal="center"/>
    </xf>
    <xf numFmtId="178" fontId="14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7" fillId="3" borderId="0" xfId="0" applyFont="1" applyFill="1" applyAlignment="1"/>
    <xf numFmtId="0" fontId="10" fillId="0" borderId="0" xfId="0" applyFont="1" applyAlignment="1"/>
    <xf numFmtId="0" fontId="10" fillId="9" borderId="0" xfId="0" applyFont="1" applyFill="1" applyAlignment="1"/>
    <xf numFmtId="0" fontId="13" fillId="2" borderId="0" xfId="0" applyFont="1" applyFill="1" applyAlignment="1"/>
    <xf numFmtId="0" fontId="10" fillId="8" borderId="0" xfId="0" applyFont="1" applyFill="1" applyAlignment="1"/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9"/>
  <sheetViews>
    <sheetView showGridLines="0" topLeftCell="A8" zoomScaleNormal="100" workbookViewId="0">
      <selection activeCell="A29" sqref="A29"/>
    </sheetView>
  </sheetViews>
  <sheetFormatPr defaultColWidth="8.7109375" defaultRowHeight="15"/>
  <cols>
    <col min="1" max="1" width="36" customWidth="1"/>
    <col min="2" max="2" width="16" customWidth="1"/>
    <col min="3" max="6" width="14" customWidth="1"/>
  </cols>
  <sheetData>
    <row r="1" spans="1:6" ht="19.5" customHeight="1">
      <c r="A1" s="45" t="s">
        <v>0</v>
      </c>
      <c r="B1" s="45"/>
      <c r="C1" s="45"/>
      <c r="D1" s="45"/>
      <c r="E1" s="45"/>
      <c r="F1" s="45"/>
    </row>
    <row r="2" spans="1:6" ht="15" customHeight="1">
      <c r="A2" s="46" t="s">
        <v>1</v>
      </c>
      <c r="B2" s="46"/>
      <c r="C2" s="46"/>
      <c r="D2" s="46"/>
      <c r="E2" s="46"/>
      <c r="F2" s="46"/>
    </row>
    <row r="4" spans="1:6" ht="15" customHeight="1">
      <c r="A4" s="39" t="s">
        <v>2</v>
      </c>
      <c r="B4" s="39"/>
      <c r="C4" s="39" t="s">
        <v>3</v>
      </c>
      <c r="D4" s="39"/>
      <c r="E4" s="39" t="s">
        <v>4</v>
      </c>
      <c r="F4" s="39"/>
    </row>
    <row r="5" spans="1:6" ht="27.75" customHeight="1">
      <c r="A5" s="36">
        <f>SUMIF('All Invoices'!D5:D60,"Due",'All Invoices'!F5:F60)+SUMIF('All Invoices'!D5:D60,"Overdue",'All Invoices'!F5:F60)</f>
        <v>151212.82</v>
      </c>
      <c r="B5" s="36"/>
      <c r="C5" s="37">
        <f>SUMIF('All Invoices'!D5:D60,"Overdue",'All Invoices'!F5:F60)</f>
        <v>55223.839999999997</v>
      </c>
      <c r="D5" s="37"/>
      <c r="E5" s="38">
        <f>SUMIF('All Invoices'!D5:D60,"Due",'All Invoices'!F5:F60)</f>
        <v>95988.98</v>
      </c>
      <c r="F5" s="38"/>
    </row>
    <row r="6" spans="1:6" ht="27.75" customHeight="1">
      <c r="A6" s="36"/>
      <c r="B6" s="36"/>
      <c r="C6" s="37"/>
      <c r="D6" s="37"/>
      <c r="E6" s="38"/>
      <c r="F6" s="38"/>
    </row>
    <row r="8" spans="1:6" ht="15" customHeight="1">
      <c r="A8" s="47" t="s">
        <v>5</v>
      </c>
      <c r="B8" s="47"/>
      <c r="C8" s="47"/>
      <c r="D8" s="47"/>
      <c r="E8" s="47"/>
      <c r="F8" s="47"/>
    </row>
    <row r="9" spans="1:6" ht="15" customHeight="1">
      <c r="A9" s="4" t="s">
        <v>6</v>
      </c>
      <c r="B9" s="4" t="s">
        <v>7</v>
      </c>
      <c r="C9" s="4" t="s">
        <v>8</v>
      </c>
      <c r="D9" s="4" t="s">
        <v>9</v>
      </c>
    </row>
    <row r="10" spans="1:6" ht="15" customHeight="1">
      <c r="A10" s="5" t="s">
        <v>10</v>
      </c>
      <c r="B10" s="6">
        <f>SUMIF('All Invoices'!G5:G60,"Not yet due",'All Invoices'!F5:F60)</f>
        <v>95988.98</v>
      </c>
      <c r="C10" s="7">
        <f>COUNTIF('All Invoices'!G5:G60,"Not yet due")</f>
        <v>29</v>
      </c>
      <c r="D10" s="8">
        <f>B10/$A$5</f>
        <v>0.63479392818677671</v>
      </c>
    </row>
    <row r="11" spans="1:6" ht="15" customHeight="1">
      <c r="A11" s="9" t="s">
        <v>11</v>
      </c>
      <c r="B11" s="6">
        <f>SUMIF('All Invoices'!G5:G60,"1-30 days",'All Invoices'!F5:F60)</f>
        <v>31033.239999999998</v>
      </c>
      <c r="C11" s="7">
        <f>COUNTIF('All Invoices'!G5:G60,"1-30 days")</f>
        <v>15</v>
      </c>
      <c r="D11" s="8">
        <f>B11/$A$5</f>
        <v>0.20522889527488475</v>
      </c>
    </row>
    <row r="12" spans="1:6" ht="15" customHeight="1">
      <c r="A12" s="10" t="s">
        <v>12</v>
      </c>
      <c r="B12" s="6">
        <f>SUMIF('All Invoices'!G5:G60,"31-60 days",'All Invoices'!F5:F60)</f>
        <v>16790.599999999999</v>
      </c>
      <c r="C12" s="7">
        <f>COUNTIF('All Invoices'!G5:G60,"31-60 days")</f>
        <v>9</v>
      </c>
      <c r="D12" s="8">
        <f>B12/$A$5</f>
        <v>0.1110395269395809</v>
      </c>
    </row>
    <row r="13" spans="1:6" ht="15" customHeight="1">
      <c r="A13" s="11" t="s">
        <v>13</v>
      </c>
      <c r="B13" s="6">
        <f>SUMIF('All Invoices'!G5:G60,"61-90 days",'All Invoices'!F5:F60)</f>
        <v>1200</v>
      </c>
      <c r="C13" s="7">
        <f>COUNTIF('All Invoices'!G5:G60,"61-90 days")</f>
        <v>1</v>
      </c>
      <c r="D13" s="8">
        <f>B13/$A$5</f>
        <v>7.9358350700687932E-3</v>
      </c>
    </row>
    <row r="14" spans="1:6" ht="15" customHeight="1">
      <c r="A14" s="11" t="s">
        <v>14</v>
      </c>
      <c r="B14" s="6">
        <f>SUMIF('All Invoices'!G5:G60,"90+ days",'All Invoices'!F5:F60)</f>
        <v>6200</v>
      </c>
      <c r="C14" s="7">
        <f>COUNTIF('All Invoices'!G5:G60,"90+ days")</f>
        <v>1</v>
      </c>
      <c r="D14" s="8">
        <f>B14/$A$5</f>
        <v>4.1001814528688771E-2</v>
      </c>
    </row>
    <row r="17" spans="1:6" ht="15" customHeight="1">
      <c r="A17" s="47" t="s">
        <v>15</v>
      </c>
      <c r="B17" s="47"/>
      <c r="C17" s="47"/>
      <c r="D17" s="47"/>
      <c r="E17" s="47"/>
      <c r="F17" s="47"/>
    </row>
    <row r="18" spans="1:6" ht="15" customHeight="1">
      <c r="A18" s="2" t="s">
        <v>16</v>
      </c>
      <c r="B18" s="12">
        <v>1000000</v>
      </c>
    </row>
    <row r="19" spans="1:6" ht="15" customHeight="1">
      <c r="A19" s="2" t="s">
        <v>17</v>
      </c>
      <c r="B19" s="13">
        <f>A5</f>
        <v>151212.82</v>
      </c>
    </row>
    <row r="20" spans="1:6" ht="15" customHeight="1">
      <c r="A20" s="14" t="s">
        <v>18</v>
      </c>
      <c r="B20" s="15">
        <f>(B19/B18)*365</f>
        <v>55.192679300000002</v>
      </c>
    </row>
    <row r="21" spans="1:6" ht="15" customHeight="1">
      <c r="A21" s="46" t="s">
        <v>19</v>
      </c>
      <c r="B21" s="46"/>
      <c r="C21" s="46"/>
      <c r="D21" s="46"/>
      <c r="E21" s="46"/>
      <c r="F21" s="46"/>
    </row>
    <row r="23" spans="1:6" ht="15" customHeight="1">
      <c r="A23" s="47" t="s">
        <v>20</v>
      </c>
      <c r="B23" s="47"/>
      <c r="C23" s="47"/>
      <c r="D23" s="47"/>
      <c r="E23" s="47"/>
      <c r="F23" s="47"/>
    </row>
    <row r="24" spans="1:6" ht="15" customHeight="1">
      <c r="A24" s="14" t="s">
        <v>21</v>
      </c>
      <c r="B24" s="35" t="s">
        <v>22</v>
      </c>
      <c r="C24" s="35"/>
      <c r="D24" s="35"/>
      <c r="E24" s="35"/>
      <c r="F24" s="35"/>
    </row>
    <row r="25" spans="1:6" ht="15" customHeight="1">
      <c r="A25" s="14" t="s">
        <v>23</v>
      </c>
      <c r="B25" s="35" t="s">
        <v>24</v>
      </c>
      <c r="C25" s="35"/>
      <c r="D25" s="35"/>
      <c r="E25" s="35"/>
      <c r="F25" s="35"/>
    </row>
    <row r="26" spans="1:6" ht="15" customHeight="1">
      <c r="A26" s="14" t="s">
        <v>25</v>
      </c>
      <c r="B26" s="35" t="s">
        <v>26</v>
      </c>
      <c r="C26" s="35"/>
      <c r="D26" s="35"/>
      <c r="E26" s="35"/>
      <c r="F26" s="35"/>
    </row>
    <row r="27" spans="1:6" ht="15" customHeight="1">
      <c r="A27" s="14" t="s">
        <v>27</v>
      </c>
      <c r="B27" s="35" t="s">
        <v>28</v>
      </c>
      <c r="C27" s="35"/>
      <c r="D27" s="35"/>
      <c r="E27" s="35"/>
      <c r="F27" s="35"/>
    </row>
    <row r="28" spans="1:6" ht="15" customHeight="1">
      <c r="A28" s="14" t="s">
        <v>29</v>
      </c>
      <c r="B28" s="35" t="s">
        <v>30</v>
      </c>
      <c r="C28" s="35"/>
      <c r="D28" s="35"/>
      <c r="E28" s="35"/>
      <c r="F28" s="35"/>
    </row>
    <row r="29" spans="1:6" ht="15" customHeight="1">
      <c r="A29" s="14" t="s">
        <v>31</v>
      </c>
      <c r="B29" s="35" t="s">
        <v>32</v>
      </c>
      <c r="C29" s="35"/>
      <c r="D29" s="35"/>
      <c r="E29" s="35"/>
      <c r="F29" s="35"/>
    </row>
    <row r="32" spans="1:6" ht="15" customHeight="1">
      <c r="A32" s="47" t="s">
        <v>33</v>
      </c>
      <c r="B32" s="47"/>
      <c r="C32" s="47"/>
      <c r="D32" s="47"/>
      <c r="E32" s="47"/>
      <c r="F32" s="47"/>
    </row>
    <row r="33" spans="1:6" ht="15" customHeight="1">
      <c r="A33" s="14" t="s">
        <v>34</v>
      </c>
      <c r="B33" s="48" t="s">
        <v>35</v>
      </c>
      <c r="C33" s="48"/>
      <c r="D33" s="48"/>
      <c r="E33" s="48"/>
      <c r="F33" s="48"/>
    </row>
    <row r="34" spans="1:6" ht="15" customHeight="1">
      <c r="A34" s="14" t="s">
        <v>36</v>
      </c>
      <c r="B34" s="48" t="s">
        <v>37</v>
      </c>
      <c r="C34" s="48"/>
      <c r="D34" s="48"/>
      <c r="E34" s="48"/>
      <c r="F34" s="48"/>
    </row>
    <row r="35" spans="1:6" ht="15" customHeight="1">
      <c r="A35" s="14" t="s">
        <v>38</v>
      </c>
      <c r="B35" s="48" t="s">
        <v>39</v>
      </c>
      <c r="C35" s="48"/>
      <c r="D35" s="48"/>
      <c r="E35" s="48"/>
      <c r="F35" s="48"/>
    </row>
    <row r="36" spans="1:6" ht="15" customHeight="1">
      <c r="A36" s="14" t="s">
        <v>40</v>
      </c>
      <c r="B36" s="48" t="s">
        <v>41</v>
      </c>
      <c r="C36" s="48"/>
      <c r="D36" s="48"/>
      <c r="E36" s="48"/>
      <c r="F36" s="48"/>
    </row>
    <row r="37" spans="1:6" ht="15" customHeight="1">
      <c r="A37" s="14" t="s">
        <v>42</v>
      </c>
      <c r="B37" s="48" t="s">
        <v>43</v>
      </c>
      <c r="C37" s="48"/>
      <c r="D37" s="48"/>
      <c r="E37" s="48"/>
      <c r="F37" s="48"/>
    </row>
    <row r="38" spans="1:6" ht="15" customHeight="1">
      <c r="A38" s="14" t="s">
        <v>44</v>
      </c>
      <c r="B38" s="48" t="s">
        <v>45</v>
      </c>
      <c r="C38" s="48"/>
      <c r="D38" s="48"/>
      <c r="E38" s="48"/>
      <c r="F38" s="48"/>
    </row>
    <row r="39" spans="1:6" ht="15" customHeight="1">
      <c r="A39" s="14" t="s">
        <v>46</v>
      </c>
      <c r="B39" s="48" t="s">
        <v>47</v>
      </c>
      <c r="C39" s="48"/>
      <c r="D39" s="48"/>
      <c r="E39" s="48"/>
      <c r="F39" s="48"/>
    </row>
  </sheetData>
  <mergeCells count="26">
    <mergeCell ref="A1:F1"/>
    <mergeCell ref="A2:F2"/>
    <mergeCell ref="A4:B4"/>
    <mergeCell ref="C4:D4"/>
    <mergeCell ref="E4:F4"/>
    <mergeCell ref="A5:B6"/>
    <mergeCell ref="C5:D6"/>
    <mergeCell ref="E5:F6"/>
    <mergeCell ref="A8:F8"/>
    <mergeCell ref="A17:F17"/>
    <mergeCell ref="A21:F21"/>
    <mergeCell ref="A23:F23"/>
    <mergeCell ref="B24:F24"/>
    <mergeCell ref="B25:F25"/>
    <mergeCell ref="B26:F26"/>
    <mergeCell ref="B27:F27"/>
    <mergeCell ref="B28:F28"/>
    <mergeCell ref="B29:F29"/>
    <mergeCell ref="A32:F32"/>
    <mergeCell ref="B33:F33"/>
    <mergeCell ref="B39:F39"/>
    <mergeCell ref="B34:F34"/>
    <mergeCell ref="B35:F35"/>
    <mergeCell ref="B36:F36"/>
    <mergeCell ref="B37:F37"/>
    <mergeCell ref="B38:F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0"/>
  <sheetViews>
    <sheetView showGridLines="0" tabSelected="1" topLeftCell="A13" zoomScaleNormal="100" workbookViewId="0">
      <selection activeCell="D1" sqref="D1:D1048576"/>
    </sheetView>
  </sheetViews>
  <sheetFormatPr defaultColWidth="8.7109375" defaultRowHeight="15"/>
  <cols>
    <col min="1" max="1" width="10" customWidth="1"/>
    <col min="2" max="2" width="11" customWidth="1"/>
    <col min="3" max="3" width="30" customWidth="1"/>
    <col min="4" max="4" width="12" style="7" customWidth="1"/>
    <col min="5" max="5" width="10" customWidth="1"/>
    <col min="6" max="6" width="13" customWidth="1"/>
    <col min="7" max="7" width="12" customWidth="1"/>
    <col min="8" max="8" width="50" customWidth="1"/>
  </cols>
  <sheetData>
    <row r="1" spans="1:8" ht="19.5" customHeight="1">
      <c r="A1" s="45" t="s">
        <v>48</v>
      </c>
      <c r="B1" s="45"/>
      <c r="C1" s="45"/>
      <c r="D1" s="45"/>
      <c r="E1" s="45"/>
      <c r="F1" s="45"/>
      <c r="G1" s="45"/>
      <c r="H1" s="45"/>
    </row>
    <row r="2" spans="1:8" ht="15" customHeight="1">
      <c r="A2" s="46" t="s">
        <v>49</v>
      </c>
      <c r="B2" s="46"/>
      <c r="C2" s="46"/>
      <c r="D2" s="46"/>
      <c r="E2" s="46"/>
      <c r="F2" s="46"/>
      <c r="G2" s="46"/>
      <c r="H2" s="46"/>
    </row>
    <row r="4" spans="1:8" ht="15" customHeight="1">
      <c r="A4" s="47" t="s">
        <v>50</v>
      </c>
      <c r="B4" s="47"/>
      <c r="C4" s="47"/>
      <c r="D4" s="47"/>
      <c r="E4" s="47"/>
      <c r="F4" s="47"/>
      <c r="G4" s="47"/>
      <c r="H4" s="47"/>
    </row>
    <row r="5" spans="1:8" ht="15" customHeight="1">
      <c r="A5" s="2" t="s">
        <v>51</v>
      </c>
      <c r="B5" s="16">
        <v>151213</v>
      </c>
      <c r="C5" s="46" t="s">
        <v>52</v>
      </c>
      <c r="D5" s="46"/>
      <c r="E5" s="46"/>
      <c r="F5" s="46"/>
      <c r="G5" s="46"/>
      <c r="H5" s="46"/>
    </row>
    <row r="6" spans="1:8" ht="15" customHeight="1">
      <c r="A6" s="11" t="s">
        <v>53</v>
      </c>
      <c r="B6" s="16">
        <v>6200</v>
      </c>
      <c r="C6" s="46" t="s">
        <v>54</v>
      </c>
      <c r="D6" s="46"/>
      <c r="E6" s="46"/>
      <c r="F6" s="46"/>
      <c r="G6" s="46"/>
      <c r="H6" s="46"/>
    </row>
    <row r="7" spans="1:8" ht="15" customHeight="1">
      <c r="A7" s="11" t="s">
        <v>55</v>
      </c>
      <c r="B7" s="16">
        <v>1200</v>
      </c>
      <c r="C7" s="46" t="s">
        <v>54</v>
      </c>
      <c r="D7" s="46"/>
      <c r="E7" s="46"/>
      <c r="F7" s="46"/>
      <c r="G7" s="46"/>
      <c r="H7" s="46"/>
    </row>
    <row r="8" spans="1:8" ht="15" customHeight="1">
      <c r="A8" s="17" t="s">
        <v>56</v>
      </c>
      <c r="B8" s="16">
        <v>16940</v>
      </c>
      <c r="C8" s="46" t="s">
        <v>57</v>
      </c>
      <c r="D8" s="46"/>
      <c r="E8" s="46"/>
      <c r="F8" s="46"/>
      <c r="G8" s="46"/>
      <c r="H8" s="46"/>
    </row>
    <row r="9" spans="1:8" ht="15" customHeight="1">
      <c r="A9" s="18" t="s">
        <v>58</v>
      </c>
      <c r="B9" s="16">
        <v>30884</v>
      </c>
      <c r="C9" s="46" t="s">
        <v>59</v>
      </c>
      <c r="D9" s="46"/>
      <c r="E9" s="46"/>
      <c r="F9" s="46"/>
      <c r="G9" s="46"/>
      <c r="H9" s="46"/>
    </row>
    <row r="10" spans="1:8" ht="15" customHeight="1">
      <c r="A10" s="2" t="s">
        <v>60</v>
      </c>
      <c r="B10" s="16">
        <v>95989</v>
      </c>
      <c r="C10" s="46" t="s">
        <v>61</v>
      </c>
      <c r="D10" s="46"/>
      <c r="E10" s="46"/>
      <c r="F10" s="46"/>
      <c r="G10" s="46"/>
      <c r="H10" s="46"/>
    </row>
    <row r="12" spans="1:8" ht="15" customHeight="1">
      <c r="A12" s="47" t="s">
        <v>62</v>
      </c>
      <c r="B12" s="47"/>
      <c r="C12" s="47"/>
      <c r="D12" s="47"/>
      <c r="E12" s="47"/>
      <c r="F12" s="47"/>
      <c r="G12" s="47"/>
      <c r="H12" s="47"/>
    </row>
    <row r="13" spans="1:8" ht="27.75" customHeight="1">
      <c r="A13" s="19" t="s">
        <v>63</v>
      </c>
      <c r="B13" s="19" t="s">
        <v>64</v>
      </c>
      <c r="C13" s="19" t="s">
        <v>65</v>
      </c>
      <c r="D13" s="19" t="s">
        <v>66</v>
      </c>
      <c r="E13" s="19" t="s">
        <v>67</v>
      </c>
      <c r="F13" s="19" t="s">
        <v>68</v>
      </c>
      <c r="G13" s="19" t="s">
        <v>6</v>
      </c>
      <c r="H13" s="19" t="s">
        <v>69</v>
      </c>
    </row>
    <row r="14" spans="1:8" ht="15" customHeight="1">
      <c r="A14" s="11" t="s">
        <v>70</v>
      </c>
      <c r="B14" s="2" t="s">
        <v>71</v>
      </c>
      <c r="C14" s="2" t="s">
        <v>29</v>
      </c>
      <c r="D14" s="42">
        <v>46020</v>
      </c>
      <c r="E14" s="7">
        <v>124</v>
      </c>
      <c r="F14" s="16">
        <v>1500</v>
      </c>
      <c r="G14" s="2" t="s">
        <v>72</v>
      </c>
      <c r="H14" s="20"/>
    </row>
    <row r="15" spans="1:8" ht="15" customHeight="1">
      <c r="A15" s="11" t="s">
        <v>70</v>
      </c>
      <c r="B15" s="2" t="s">
        <v>73</v>
      </c>
      <c r="C15" s="41" t="s">
        <v>74</v>
      </c>
      <c r="D15" s="43">
        <v>46023</v>
      </c>
      <c r="E15" s="7">
        <v>101</v>
      </c>
      <c r="F15" s="16">
        <v>6200</v>
      </c>
      <c r="G15" s="2" t="s">
        <v>72</v>
      </c>
      <c r="H15" s="3" t="s">
        <v>75</v>
      </c>
    </row>
    <row r="16" spans="1:8" ht="15" customHeight="1">
      <c r="A16" s="11" t="s">
        <v>70</v>
      </c>
      <c r="B16" s="2" t="s">
        <v>76</v>
      </c>
      <c r="C16" s="2" t="s">
        <v>77</v>
      </c>
      <c r="D16" s="44" t="s">
        <v>78</v>
      </c>
      <c r="E16" s="7">
        <v>70</v>
      </c>
      <c r="F16" s="16">
        <v>1200</v>
      </c>
      <c r="G16" s="2" t="s">
        <v>79</v>
      </c>
      <c r="H16" s="20" t="s">
        <v>80</v>
      </c>
    </row>
    <row r="17" spans="1:8" ht="15" customHeight="1">
      <c r="A17" s="11"/>
      <c r="B17" s="2" t="s">
        <v>81</v>
      </c>
      <c r="C17" s="2" t="s">
        <v>25</v>
      </c>
      <c r="D17" s="42">
        <v>46056</v>
      </c>
      <c r="E17" s="7">
        <v>68</v>
      </c>
      <c r="F17" s="16">
        <v>4400</v>
      </c>
      <c r="G17" s="2" t="s">
        <v>79</v>
      </c>
      <c r="H17" s="20"/>
    </row>
    <row r="18" spans="1:8" ht="15" customHeight="1">
      <c r="A18" s="10" t="s">
        <v>82</v>
      </c>
      <c r="B18" s="2" t="s">
        <v>83</v>
      </c>
      <c r="C18" s="2" t="s">
        <v>74</v>
      </c>
      <c r="D18" s="44" t="s">
        <v>84</v>
      </c>
      <c r="E18" s="7">
        <v>54</v>
      </c>
      <c r="F18" s="16">
        <v>2800</v>
      </c>
      <c r="G18" s="2" t="s">
        <v>85</v>
      </c>
      <c r="H18" s="20" t="s">
        <v>86</v>
      </c>
    </row>
    <row r="19" spans="1:8" ht="15" customHeight="1">
      <c r="A19" s="10" t="s">
        <v>82</v>
      </c>
      <c r="B19" s="2" t="s">
        <v>87</v>
      </c>
      <c r="C19" s="2" t="s">
        <v>25</v>
      </c>
      <c r="D19" s="44" t="s">
        <v>88</v>
      </c>
      <c r="E19" s="7">
        <v>47</v>
      </c>
      <c r="F19" s="16">
        <v>800</v>
      </c>
      <c r="G19" s="2" t="s">
        <v>85</v>
      </c>
      <c r="H19" s="20" t="s">
        <v>89</v>
      </c>
    </row>
    <row r="20" spans="1:8" ht="15" customHeight="1">
      <c r="A20" s="10" t="s">
        <v>82</v>
      </c>
      <c r="B20" s="2" t="s">
        <v>90</v>
      </c>
      <c r="C20" s="2" t="s">
        <v>91</v>
      </c>
      <c r="D20" s="44" t="s">
        <v>88</v>
      </c>
      <c r="E20" s="7">
        <v>47</v>
      </c>
      <c r="F20" s="16">
        <v>150</v>
      </c>
      <c r="G20" s="2" t="s">
        <v>85</v>
      </c>
      <c r="H20" s="20" t="s">
        <v>89</v>
      </c>
    </row>
    <row r="21" spans="1:8" ht="15" customHeight="1">
      <c r="A21" s="10" t="s">
        <v>82</v>
      </c>
      <c r="B21" s="2" t="s">
        <v>92</v>
      </c>
      <c r="C21" s="2" t="s">
        <v>93</v>
      </c>
      <c r="D21" s="42">
        <v>46107</v>
      </c>
      <c r="E21" s="7">
        <v>17</v>
      </c>
      <c r="F21" s="16">
        <v>3465</v>
      </c>
      <c r="G21" s="2" t="s">
        <v>85</v>
      </c>
      <c r="H21" s="20" t="s">
        <v>94</v>
      </c>
    </row>
    <row r="22" spans="1:8" ht="15" customHeight="1">
      <c r="A22" s="10" t="s">
        <v>82</v>
      </c>
      <c r="B22" s="2" t="s">
        <v>95</v>
      </c>
      <c r="C22" s="2" t="s">
        <v>96</v>
      </c>
      <c r="D22" s="44" t="s">
        <v>97</v>
      </c>
      <c r="E22" s="7">
        <v>44</v>
      </c>
      <c r="F22" s="16">
        <v>2000</v>
      </c>
      <c r="G22" s="2" t="s">
        <v>85</v>
      </c>
      <c r="H22" s="20" t="s">
        <v>98</v>
      </c>
    </row>
    <row r="23" spans="1:8" ht="15" customHeight="1">
      <c r="A23" s="10" t="s">
        <v>82</v>
      </c>
      <c r="B23" s="2" t="s">
        <v>99</v>
      </c>
      <c r="C23" s="2" t="s">
        <v>25</v>
      </c>
      <c r="D23" s="44" t="s">
        <v>100</v>
      </c>
      <c r="E23" s="7">
        <v>42</v>
      </c>
      <c r="F23" s="16">
        <v>800</v>
      </c>
      <c r="G23" s="2" t="s">
        <v>85</v>
      </c>
      <c r="H23" s="20" t="s">
        <v>89</v>
      </c>
    </row>
    <row r="24" spans="1:8" ht="15" customHeight="1">
      <c r="A24" s="10" t="s">
        <v>82</v>
      </c>
      <c r="B24" s="2" t="s">
        <v>101</v>
      </c>
      <c r="C24" s="2" t="s">
        <v>31</v>
      </c>
      <c r="D24" s="44" t="s">
        <v>102</v>
      </c>
      <c r="E24" s="7">
        <v>40</v>
      </c>
      <c r="F24" s="16">
        <v>1940.6</v>
      </c>
      <c r="G24" s="2" t="s">
        <v>85</v>
      </c>
      <c r="H24" s="20" t="s">
        <v>89</v>
      </c>
    </row>
    <row r="25" spans="1:8" ht="15" customHeight="1">
      <c r="A25" s="10" t="s">
        <v>82</v>
      </c>
      <c r="B25" s="2" t="s">
        <v>103</v>
      </c>
      <c r="C25" s="2" t="s">
        <v>104</v>
      </c>
      <c r="D25" s="44" t="s">
        <v>105</v>
      </c>
      <c r="E25" s="7">
        <v>39</v>
      </c>
      <c r="F25" s="16">
        <v>3300</v>
      </c>
      <c r="G25" s="2" t="s">
        <v>85</v>
      </c>
      <c r="H25" s="20" t="s">
        <v>98</v>
      </c>
    </row>
    <row r="26" spans="1:8" ht="15" customHeight="1">
      <c r="A26" s="10" t="s">
        <v>82</v>
      </c>
      <c r="B26" s="2" t="s">
        <v>106</v>
      </c>
      <c r="C26" s="2" t="s">
        <v>107</v>
      </c>
      <c r="D26" s="44" t="s">
        <v>108</v>
      </c>
      <c r="E26" s="7">
        <v>35</v>
      </c>
      <c r="F26" s="16">
        <v>600</v>
      </c>
      <c r="G26" s="2" t="s">
        <v>85</v>
      </c>
      <c r="H26" s="20" t="s">
        <v>89</v>
      </c>
    </row>
    <row r="27" spans="1:8" ht="15" customHeight="1">
      <c r="A27" s="9" t="s">
        <v>109</v>
      </c>
      <c r="B27" s="2" t="s">
        <v>110</v>
      </c>
      <c r="C27" s="2" t="s">
        <v>111</v>
      </c>
      <c r="D27" s="44" t="s">
        <v>112</v>
      </c>
      <c r="E27" s="7">
        <v>28</v>
      </c>
      <c r="F27" s="16">
        <v>5000</v>
      </c>
      <c r="G27" s="2" t="s">
        <v>113</v>
      </c>
      <c r="H27" s="20" t="s">
        <v>114</v>
      </c>
    </row>
    <row r="28" spans="1:8" ht="15" customHeight="1">
      <c r="A28" s="9" t="s">
        <v>109</v>
      </c>
      <c r="B28" s="2" t="s">
        <v>115</v>
      </c>
      <c r="C28" s="2" t="s">
        <v>116</v>
      </c>
      <c r="D28" s="44" t="s">
        <v>117</v>
      </c>
      <c r="E28" s="7">
        <v>26</v>
      </c>
      <c r="F28" s="16">
        <v>1600</v>
      </c>
      <c r="G28" s="2" t="s">
        <v>113</v>
      </c>
      <c r="H28" s="20" t="s">
        <v>118</v>
      </c>
    </row>
    <row r="29" spans="1:8" ht="15" customHeight="1">
      <c r="A29" s="9" t="s">
        <v>109</v>
      </c>
      <c r="B29" s="2" t="s">
        <v>119</v>
      </c>
      <c r="C29" s="2" t="s">
        <v>29</v>
      </c>
      <c r="D29" s="44" t="s">
        <v>120</v>
      </c>
      <c r="E29" s="7">
        <v>21</v>
      </c>
      <c r="F29" s="16">
        <v>1500</v>
      </c>
      <c r="G29" s="2" t="s">
        <v>113</v>
      </c>
      <c r="H29" s="20" t="s">
        <v>118</v>
      </c>
    </row>
    <row r="30" spans="1:8" ht="15" customHeight="1">
      <c r="A30" s="9" t="s">
        <v>109</v>
      </c>
      <c r="B30" s="2" t="s">
        <v>121</v>
      </c>
      <c r="C30" s="2" t="s">
        <v>29</v>
      </c>
      <c r="D30" s="44" t="s">
        <v>120</v>
      </c>
      <c r="E30" s="7">
        <v>21</v>
      </c>
      <c r="F30" s="16">
        <v>630</v>
      </c>
      <c r="G30" s="2" t="s">
        <v>113</v>
      </c>
      <c r="H30" s="20" t="s">
        <v>118</v>
      </c>
    </row>
    <row r="31" spans="1:8" ht="15" customHeight="1">
      <c r="A31" s="9" t="s">
        <v>109</v>
      </c>
      <c r="B31" s="2" t="s">
        <v>122</v>
      </c>
      <c r="C31" s="2" t="s">
        <v>25</v>
      </c>
      <c r="D31" s="44" t="s">
        <v>123</v>
      </c>
      <c r="E31" s="7">
        <v>18</v>
      </c>
      <c r="F31" s="16">
        <v>1500</v>
      </c>
      <c r="G31" s="2" t="s">
        <v>113</v>
      </c>
      <c r="H31" s="20" t="s">
        <v>124</v>
      </c>
    </row>
    <row r="32" spans="1:8" ht="15" customHeight="1">
      <c r="A32" s="9" t="s">
        <v>109</v>
      </c>
      <c r="B32" s="2" t="s">
        <v>125</v>
      </c>
      <c r="C32" s="2" t="s">
        <v>126</v>
      </c>
      <c r="D32" s="44" t="s">
        <v>123</v>
      </c>
      <c r="E32" s="7">
        <v>18</v>
      </c>
      <c r="F32" s="16">
        <v>500</v>
      </c>
      <c r="G32" s="2" t="s">
        <v>113</v>
      </c>
      <c r="H32" s="20" t="s">
        <v>118</v>
      </c>
    </row>
    <row r="33" spans="1:8" ht="15" customHeight="1">
      <c r="A33" s="9" t="s">
        <v>109</v>
      </c>
      <c r="B33" s="2" t="s">
        <v>127</v>
      </c>
      <c r="C33" s="2" t="s">
        <v>27</v>
      </c>
      <c r="D33" s="44" t="s">
        <v>128</v>
      </c>
      <c r="E33" s="7">
        <v>14</v>
      </c>
      <c r="F33" s="16">
        <v>6700</v>
      </c>
      <c r="G33" s="2" t="s">
        <v>113</v>
      </c>
      <c r="H33" s="20" t="s">
        <v>129</v>
      </c>
    </row>
    <row r="34" spans="1:8" ht="15" customHeight="1">
      <c r="A34" s="9" t="s">
        <v>109</v>
      </c>
      <c r="B34" s="2" t="s">
        <v>130</v>
      </c>
      <c r="C34" s="2" t="s">
        <v>27</v>
      </c>
      <c r="D34" s="44" t="s">
        <v>131</v>
      </c>
      <c r="E34" s="7">
        <v>13</v>
      </c>
      <c r="F34" s="16">
        <v>2600</v>
      </c>
      <c r="G34" s="2" t="s">
        <v>113</v>
      </c>
      <c r="H34" s="20" t="s">
        <v>118</v>
      </c>
    </row>
    <row r="35" spans="1:8" ht="15" customHeight="1">
      <c r="A35" s="9" t="s">
        <v>109</v>
      </c>
      <c r="B35" s="2" t="s">
        <v>92</v>
      </c>
      <c r="C35" s="2" t="s">
        <v>93</v>
      </c>
      <c r="D35" s="44" t="s">
        <v>132</v>
      </c>
      <c r="E35" s="7">
        <v>16</v>
      </c>
      <c r="F35" s="16">
        <v>3465</v>
      </c>
      <c r="G35" s="2" t="s">
        <v>113</v>
      </c>
      <c r="H35" s="20" t="s">
        <v>133</v>
      </c>
    </row>
    <row r="36" spans="1:8" ht="15" customHeight="1">
      <c r="A36" s="9" t="s">
        <v>109</v>
      </c>
      <c r="B36" s="2" t="s">
        <v>134</v>
      </c>
      <c r="C36" s="2" t="s">
        <v>31</v>
      </c>
      <c r="D36" s="44" t="s">
        <v>132</v>
      </c>
      <c r="E36" s="7">
        <v>12</v>
      </c>
      <c r="F36" s="16">
        <v>480.32</v>
      </c>
      <c r="G36" s="2" t="s">
        <v>113</v>
      </c>
      <c r="H36" s="20" t="s">
        <v>118</v>
      </c>
    </row>
    <row r="37" spans="1:8" ht="15" customHeight="1">
      <c r="A37" s="9" t="s">
        <v>109</v>
      </c>
      <c r="B37" s="2" t="s">
        <v>135</v>
      </c>
      <c r="C37" s="2" t="s">
        <v>31</v>
      </c>
      <c r="D37" s="44" t="s">
        <v>136</v>
      </c>
      <c r="E37" s="7">
        <v>9</v>
      </c>
      <c r="F37" s="16">
        <v>700.32</v>
      </c>
      <c r="G37" s="2" t="s">
        <v>113</v>
      </c>
      <c r="H37" s="20" t="s">
        <v>118</v>
      </c>
    </row>
    <row r="38" spans="1:8" ht="15" customHeight="1">
      <c r="A38" s="9" t="s">
        <v>109</v>
      </c>
      <c r="B38" s="2" t="s">
        <v>137</v>
      </c>
      <c r="C38" s="2" t="s">
        <v>138</v>
      </c>
      <c r="D38" s="44" t="s">
        <v>139</v>
      </c>
      <c r="E38" s="7">
        <v>4</v>
      </c>
      <c r="F38" s="16">
        <v>1400</v>
      </c>
      <c r="G38" s="2" t="s">
        <v>113</v>
      </c>
      <c r="H38" s="20" t="s">
        <v>140</v>
      </c>
    </row>
    <row r="39" spans="1:8" ht="15" customHeight="1">
      <c r="A39" s="9" t="s">
        <v>109</v>
      </c>
      <c r="B39" s="2" t="s">
        <v>141</v>
      </c>
      <c r="C39" s="2" t="s">
        <v>142</v>
      </c>
      <c r="D39" s="44" t="s">
        <v>143</v>
      </c>
      <c r="E39" s="7">
        <v>1</v>
      </c>
      <c r="F39" s="16">
        <v>2600</v>
      </c>
      <c r="G39" s="2" t="s">
        <v>113</v>
      </c>
      <c r="H39" s="20" t="s">
        <v>140</v>
      </c>
    </row>
    <row r="40" spans="1:8" ht="15" customHeight="1">
      <c r="A40" s="9"/>
      <c r="B40" s="2"/>
      <c r="C40" s="2"/>
      <c r="D40" s="42"/>
      <c r="E40" s="7"/>
      <c r="F40" s="16"/>
      <c r="G40" s="2"/>
      <c r="H40" s="20"/>
    </row>
    <row r="41" spans="1:8" ht="15" customHeight="1">
      <c r="A41" s="9" t="s">
        <v>144</v>
      </c>
      <c r="B41" s="21"/>
      <c r="C41" s="21"/>
      <c r="D41" s="30"/>
      <c r="E41" s="21"/>
      <c r="F41" s="22">
        <f>SUM(F14:F39)</f>
        <v>57831.24</v>
      </c>
      <c r="G41" s="21"/>
      <c r="H41" s="21"/>
    </row>
    <row r="43" spans="1:8" ht="15" customHeight="1">
      <c r="A43" s="47" t="s">
        <v>145</v>
      </c>
      <c r="B43" s="47"/>
      <c r="C43" s="47"/>
      <c r="D43" s="47"/>
      <c r="E43" s="47"/>
      <c r="F43" s="47"/>
      <c r="G43" s="47"/>
      <c r="H43" s="47"/>
    </row>
    <row r="44" spans="1:8" ht="21.75" customHeight="1">
      <c r="A44" s="14" t="s">
        <v>25</v>
      </c>
      <c r="B44" s="40" t="s">
        <v>146</v>
      </c>
      <c r="C44" s="40"/>
      <c r="D44" s="40"/>
      <c r="E44" s="40"/>
      <c r="F44" s="40"/>
      <c r="G44" s="40"/>
      <c r="H44" s="40"/>
    </row>
    <row r="45" spans="1:8" ht="21.75" customHeight="1">
      <c r="A45" s="14" t="s">
        <v>31</v>
      </c>
      <c r="B45" s="40" t="s">
        <v>147</v>
      </c>
      <c r="C45" s="40"/>
      <c r="D45" s="40"/>
      <c r="E45" s="40"/>
      <c r="F45" s="40"/>
      <c r="G45" s="40"/>
      <c r="H45" s="40"/>
    </row>
    <row r="46" spans="1:8" ht="21.75" customHeight="1">
      <c r="A46" s="14" t="s">
        <v>27</v>
      </c>
      <c r="B46" s="40" t="s">
        <v>148</v>
      </c>
      <c r="C46" s="40"/>
      <c r="D46" s="40"/>
      <c r="E46" s="40"/>
      <c r="F46" s="40"/>
      <c r="G46" s="40"/>
      <c r="H46" s="40"/>
    </row>
    <row r="47" spans="1:8" ht="21.75" customHeight="1">
      <c r="A47" s="14" t="s">
        <v>149</v>
      </c>
      <c r="B47" s="40" t="s">
        <v>150</v>
      </c>
      <c r="C47" s="40"/>
      <c r="D47" s="40"/>
      <c r="E47" s="40"/>
      <c r="F47" s="40"/>
      <c r="G47" s="40"/>
      <c r="H47" s="40"/>
    </row>
    <row r="48" spans="1:8" ht="21.75" customHeight="1">
      <c r="A48" s="14" t="s">
        <v>74</v>
      </c>
      <c r="B48" s="40" t="s">
        <v>151</v>
      </c>
      <c r="C48" s="40"/>
      <c r="D48" s="40"/>
      <c r="E48" s="40"/>
      <c r="F48" s="40"/>
      <c r="G48" s="40"/>
      <c r="H48" s="40"/>
    </row>
    <row r="51" spans="1:8" ht="15" customHeight="1">
      <c r="A51" s="47" t="s">
        <v>152</v>
      </c>
      <c r="B51" s="47"/>
      <c r="C51" s="47"/>
      <c r="D51" s="47"/>
      <c r="E51" s="47"/>
      <c r="F51" s="47"/>
      <c r="G51" s="47"/>
      <c r="H51" s="47"/>
    </row>
    <row r="52" spans="1:8" ht="15" customHeight="1">
      <c r="A52" s="49" t="s">
        <v>153</v>
      </c>
      <c r="B52" s="49"/>
      <c r="C52" s="49"/>
      <c r="D52" s="49"/>
      <c r="E52" s="49"/>
      <c r="F52" s="49"/>
      <c r="G52" s="49"/>
      <c r="H52" s="49"/>
    </row>
    <row r="53" spans="1:8" ht="15" customHeight="1">
      <c r="A53" s="49" t="s">
        <v>154</v>
      </c>
      <c r="B53" s="49"/>
      <c r="C53" s="49"/>
      <c r="D53" s="49"/>
      <c r="E53" s="49"/>
      <c r="F53" s="49"/>
      <c r="G53" s="49"/>
      <c r="H53" s="49"/>
    </row>
    <row r="54" spans="1:8" ht="15" customHeight="1">
      <c r="A54" s="49" t="s">
        <v>155</v>
      </c>
      <c r="B54" s="49"/>
      <c r="C54" s="49"/>
      <c r="D54" s="49"/>
      <c r="E54" s="49"/>
      <c r="F54" s="49"/>
      <c r="G54" s="49"/>
      <c r="H54" s="49"/>
    </row>
    <row r="55" spans="1:8" ht="15" customHeight="1">
      <c r="A55" s="49" t="s">
        <v>156</v>
      </c>
      <c r="B55" s="49"/>
      <c r="C55" s="49"/>
      <c r="D55" s="49"/>
      <c r="E55" s="49"/>
      <c r="F55" s="49"/>
      <c r="G55" s="49"/>
      <c r="H55" s="49"/>
    </row>
    <row r="56" spans="1:8" ht="15" customHeight="1">
      <c r="A56" s="49" t="s">
        <v>157</v>
      </c>
      <c r="B56" s="49"/>
      <c r="C56" s="49"/>
      <c r="D56" s="49"/>
      <c r="E56" s="49"/>
      <c r="F56" s="49"/>
      <c r="G56" s="49"/>
      <c r="H56" s="49"/>
    </row>
    <row r="57" spans="1:8" ht="15" customHeight="1">
      <c r="A57" s="49" t="s">
        <v>158</v>
      </c>
      <c r="B57" s="49"/>
      <c r="C57" s="49"/>
      <c r="D57" s="49"/>
      <c r="E57" s="49"/>
      <c r="F57" s="49"/>
      <c r="G57" s="49"/>
      <c r="H57" s="49"/>
    </row>
    <row r="58" spans="1:8" ht="15" customHeight="1">
      <c r="A58" s="49" t="s">
        <v>159</v>
      </c>
      <c r="B58" s="49"/>
      <c r="C58" s="49"/>
      <c r="D58" s="49"/>
      <c r="E58" s="49"/>
      <c r="F58" s="49"/>
      <c r="G58" s="49"/>
      <c r="H58" s="49"/>
    </row>
    <row r="59" spans="1:8" ht="15" customHeight="1">
      <c r="A59" s="49" t="s">
        <v>160</v>
      </c>
      <c r="B59" s="49"/>
      <c r="C59" s="49"/>
      <c r="D59" s="49"/>
      <c r="E59" s="49"/>
      <c r="F59" s="49"/>
      <c r="G59" s="49"/>
      <c r="H59" s="49"/>
    </row>
    <row r="60" spans="1:8" ht="15" customHeight="1">
      <c r="A60" s="49" t="s">
        <v>161</v>
      </c>
      <c r="B60" s="49"/>
      <c r="C60" s="49"/>
      <c r="D60" s="49"/>
      <c r="E60" s="49"/>
      <c r="F60" s="49"/>
      <c r="G60" s="49"/>
      <c r="H60" s="49"/>
    </row>
  </sheetData>
  <mergeCells count="26">
    <mergeCell ref="A1:H1"/>
    <mergeCell ref="A2:H2"/>
    <mergeCell ref="A4:H4"/>
    <mergeCell ref="C5:H5"/>
    <mergeCell ref="C6:H6"/>
    <mergeCell ref="C7:H7"/>
    <mergeCell ref="C8:H8"/>
    <mergeCell ref="C9:H9"/>
    <mergeCell ref="C10:H10"/>
    <mergeCell ref="A12:H12"/>
    <mergeCell ref="A43:H43"/>
    <mergeCell ref="B44:H44"/>
    <mergeCell ref="B45:H45"/>
    <mergeCell ref="B46:H46"/>
    <mergeCell ref="B47:H47"/>
    <mergeCell ref="B48:H48"/>
    <mergeCell ref="A51:H51"/>
    <mergeCell ref="A52:H52"/>
    <mergeCell ref="A53:H53"/>
    <mergeCell ref="A54:H54"/>
    <mergeCell ref="A60:H60"/>
    <mergeCell ref="A55:H55"/>
    <mergeCell ref="A56:H56"/>
    <mergeCell ref="A57:H57"/>
    <mergeCell ref="A58:H58"/>
    <mergeCell ref="A59:H5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60"/>
  <sheetViews>
    <sheetView showGridLines="0" zoomScaleNormal="100" workbookViewId="0">
      <pane ySplit="4" topLeftCell="A51" activePane="bottomLeft" state="frozen"/>
      <selection pane="bottomLeft" activeCell="A59" sqref="A59:XFD59"/>
    </sheetView>
  </sheetViews>
  <sheetFormatPr defaultColWidth="8.7109375" defaultRowHeight="15"/>
  <cols>
    <col min="1" max="1" width="10" customWidth="1"/>
    <col min="2" max="2" width="32" customWidth="1"/>
    <col min="3" max="3" width="12" customWidth="1"/>
    <col min="4" max="4" width="10" customWidth="1"/>
    <col min="5" max="5" width="8" customWidth="1"/>
    <col min="6" max="6" width="13" customWidth="1"/>
    <col min="7" max="7" width="14" customWidth="1"/>
    <col min="8" max="8" width="45" customWidth="1"/>
  </cols>
  <sheetData>
    <row r="1" spans="1:8" ht="19.5" customHeight="1">
      <c r="A1" s="45" t="s">
        <v>162</v>
      </c>
      <c r="B1" s="45"/>
      <c r="C1" s="45"/>
      <c r="D1" s="45"/>
      <c r="E1" s="45"/>
      <c r="F1" s="45"/>
      <c r="G1" s="45"/>
      <c r="H1" s="45"/>
    </row>
    <row r="2" spans="1:8" ht="15" customHeight="1">
      <c r="A2" s="46" t="s">
        <v>163</v>
      </c>
      <c r="B2" s="46"/>
      <c r="C2" s="46"/>
      <c r="D2" s="46"/>
      <c r="E2" s="46"/>
      <c r="F2" s="46"/>
      <c r="G2" s="46"/>
      <c r="H2" s="46"/>
    </row>
    <row r="4" spans="1:8" ht="15" customHeight="1">
      <c r="A4" s="23" t="s">
        <v>64</v>
      </c>
      <c r="B4" s="23" t="s">
        <v>65</v>
      </c>
      <c r="C4" s="23" t="s">
        <v>66</v>
      </c>
      <c r="D4" s="23" t="s">
        <v>164</v>
      </c>
      <c r="E4" s="23" t="s">
        <v>165</v>
      </c>
      <c r="F4" s="23" t="s">
        <v>68</v>
      </c>
      <c r="G4" s="23" t="s">
        <v>166</v>
      </c>
      <c r="H4" s="23" t="s">
        <v>167</v>
      </c>
    </row>
    <row r="5" spans="1:8" ht="15" customHeight="1">
      <c r="A5" s="2" t="s">
        <v>168</v>
      </c>
      <c r="B5" s="2" t="s">
        <v>29</v>
      </c>
      <c r="C5" s="2" t="s">
        <v>169</v>
      </c>
      <c r="D5" s="2" t="s">
        <v>170</v>
      </c>
      <c r="E5" s="7">
        <v>29</v>
      </c>
      <c r="F5" s="6">
        <v>13200</v>
      </c>
      <c r="G5" s="2" t="s">
        <v>10</v>
      </c>
    </row>
    <row r="6" spans="1:8" ht="15" customHeight="1">
      <c r="A6" s="2" t="s">
        <v>171</v>
      </c>
      <c r="B6" s="2" t="s">
        <v>29</v>
      </c>
      <c r="C6" s="2" t="s">
        <v>169</v>
      </c>
      <c r="D6" s="2" t="s">
        <v>170</v>
      </c>
      <c r="E6" s="7">
        <v>29</v>
      </c>
      <c r="F6" s="6">
        <v>12000</v>
      </c>
      <c r="G6" s="2" t="s">
        <v>10</v>
      </c>
    </row>
    <row r="7" spans="1:8" ht="15" customHeight="1">
      <c r="A7" s="2" t="s">
        <v>172</v>
      </c>
      <c r="B7" s="2" t="s">
        <v>138</v>
      </c>
      <c r="C7" s="2" t="s">
        <v>173</v>
      </c>
      <c r="D7" s="2" t="s">
        <v>170</v>
      </c>
      <c r="E7" s="7">
        <v>27</v>
      </c>
      <c r="F7" s="6">
        <v>515</v>
      </c>
      <c r="G7" s="2" t="s">
        <v>10</v>
      </c>
    </row>
    <row r="8" spans="1:8" ht="15" customHeight="1">
      <c r="A8" s="2" t="s">
        <v>174</v>
      </c>
      <c r="B8" s="2" t="s">
        <v>93</v>
      </c>
      <c r="C8" s="2" t="s">
        <v>173</v>
      </c>
      <c r="D8" s="2" t="s">
        <v>170</v>
      </c>
      <c r="E8" s="7">
        <v>27</v>
      </c>
      <c r="F8" s="6">
        <v>4800</v>
      </c>
      <c r="G8" s="2" t="s">
        <v>10</v>
      </c>
    </row>
    <row r="9" spans="1:8" ht="15" customHeight="1">
      <c r="A9" s="2" t="s">
        <v>175</v>
      </c>
      <c r="B9" s="2" t="s">
        <v>176</v>
      </c>
      <c r="C9" s="2" t="s">
        <v>177</v>
      </c>
      <c r="D9" s="2" t="s">
        <v>170</v>
      </c>
      <c r="E9" s="7">
        <v>28</v>
      </c>
      <c r="F9" s="6">
        <v>1800</v>
      </c>
      <c r="G9" s="2" t="s">
        <v>10</v>
      </c>
    </row>
    <row r="10" spans="1:8" ht="15" customHeight="1">
      <c r="A10" s="2" t="s">
        <v>178</v>
      </c>
      <c r="B10" s="2" t="s">
        <v>179</v>
      </c>
      <c r="C10" s="2" t="s">
        <v>180</v>
      </c>
      <c r="D10" s="2" t="s">
        <v>170</v>
      </c>
      <c r="E10" s="7">
        <v>23</v>
      </c>
      <c r="F10" s="6">
        <v>616.79999999999995</v>
      </c>
      <c r="G10" s="2" t="s">
        <v>10</v>
      </c>
    </row>
    <row r="11" spans="1:8" ht="15" customHeight="1">
      <c r="A11" s="2" t="s">
        <v>181</v>
      </c>
      <c r="B11" s="2" t="s">
        <v>25</v>
      </c>
      <c r="C11" s="2" t="s">
        <v>180</v>
      </c>
      <c r="D11" s="2" t="s">
        <v>170</v>
      </c>
      <c r="E11" s="7">
        <v>23</v>
      </c>
      <c r="F11" s="6">
        <v>1600</v>
      </c>
      <c r="G11" s="2" t="s">
        <v>10</v>
      </c>
    </row>
    <row r="12" spans="1:8" ht="15" customHeight="1">
      <c r="A12" s="2" t="s">
        <v>182</v>
      </c>
      <c r="B12" s="2" t="s">
        <v>25</v>
      </c>
      <c r="C12" s="2" t="s">
        <v>180</v>
      </c>
      <c r="D12" s="2" t="s">
        <v>170</v>
      </c>
      <c r="E12" s="7">
        <v>23</v>
      </c>
      <c r="F12" s="6">
        <v>800</v>
      </c>
      <c r="G12" s="2" t="s">
        <v>10</v>
      </c>
    </row>
    <row r="13" spans="1:8" ht="15" customHeight="1">
      <c r="A13" s="2" t="s">
        <v>183</v>
      </c>
      <c r="B13" s="2" t="s">
        <v>184</v>
      </c>
      <c r="C13" s="2" t="s">
        <v>185</v>
      </c>
      <c r="D13" s="2" t="s">
        <v>170</v>
      </c>
      <c r="E13" s="7">
        <v>22</v>
      </c>
      <c r="F13" s="6">
        <v>3750</v>
      </c>
      <c r="G13" s="2" t="s">
        <v>10</v>
      </c>
    </row>
    <row r="14" spans="1:8" ht="15" customHeight="1">
      <c r="A14" s="2" t="s">
        <v>186</v>
      </c>
      <c r="B14" s="2" t="s">
        <v>187</v>
      </c>
      <c r="C14" s="2" t="s">
        <v>180</v>
      </c>
      <c r="D14" s="2" t="s">
        <v>170</v>
      </c>
      <c r="E14" s="7">
        <v>23</v>
      </c>
      <c r="F14" s="6">
        <v>800</v>
      </c>
      <c r="G14" s="2" t="s">
        <v>10</v>
      </c>
    </row>
    <row r="15" spans="1:8" ht="15" customHeight="1">
      <c r="A15" s="2" t="s">
        <v>188</v>
      </c>
      <c r="B15" s="2" t="s">
        <v>179</v>
      </c>
      <c r="C15" s="2" t="s">
        <v>180</v>
      </c>
      <c r="D15" s="2" t="s">
        <v>170</v>
      </c>
      <c r="E15" s="7">
        <v>23</v>
      </c>
      <c r="F15" s="6">
        <v>1800</v>
      </c>
      <c r="G15" s="2" t="s">
        <v>10</v>
      </c>
    </row>
    <row r="16" spans="1:8" ht="15" customHeight="1">
      <c r="A16" s="2" t="s">
        <v>189</v>
      </c>
      <c r="B16" s="2" t="s">
        <v>190</v>
      </c>
      <c r="C16" s="2" t="s">
        <v>180</v>
      </c>
      <c r="D16" s="2" t="s">
        <v>170</v>
      </c>
      <c r="E16" s="7">
        <v>23</v>
      </c>
      <c r="F16" s="6">
        <v>1000</v>
      </c>
      <c r="G16" s="2" t="s">
        <v>10</v>
      </c>
    </row>
    <row r="17" spans="1:7" ht="15" customHeight="1">
      <c r="A17" s="2" t="s">
        <v>191</v>
      </c>
      <c r="B17" s="2" t="s">
        <v>192</v>
      </c>
      <c r="C17" s="2" t="s">
        <v>180</v>
      </c>
      <c r="D17" s="2" t="s">
        <v>170</v>
      </c>
      <c r="E17" s="7">
        <v>23</v>
      </c>
      <c r="F17" s="6">
        <v>800</v>
      </c>
      <c r="G17" s="2" t="s">
        <v>10</v>
      </c>
    </row>
    <row r="18" spans="1:7" ht="15" customHeight="1">
      <c r="A18" s="2" t="s">
        <v>193</v>
      </c>
      <c r="B18" s="2" t="s">
        <v>190</v>
      </c>
      <c r="C18" s="2" t="s">
        <v>180</v>
      </c>
      <c r="D18" s="2" t="s">
        <v>170</v>
      </c>
      <c r="E18" s="7">
        <v>23</v>
      </c>
      <c r="F18" s="6">
        <v>2760</v>
      </c>
      <c r="G18" s="2" t="s">
        <v>10</v>
      </c>
    </row>
    <row r="19" spans="1:7" ht="15" customHeight="1">
      <c r="A19" s="2" t="s">
        <v>194</v>
      </c>
      <c r="B19" s="2" t="s">
        <v>27</v>
      </c>
      <c r="C19" s="2" t="s">
        <v>180</v>
      </c>
      <c r="D19" s="2" t="s">
        <v>170</v>
      </c>
      <c r="E19" s="7">
        <v>23</v>
      </c>
      <c r="F19" s="6">
        <v>922.4</v>
      </c>
      <c r="G19" s="2" t="s">
        <v>10</v>
      </c>
    </row>
    <row r="20" spans="1:7" ht="15" customHeight="1">
      <c r="A20" s="2" t="s">
        <v>195</v>
      </c>
      <c r="B20" s="2" t="s">
        <v>196</v>
      </c>
      <c r="C20" s="2" t="s">
        <v>185</v>
      </c>
      <c r="D20" s="2" t="s">
        <v>170</v>
      </c>
      <c r="E20" s="7">
        <v>21</v>
      </c>
      <c r="F20" s="6">
        <v>1160</v>
      </c>
      <c r="G20" s="2" t="s">
        <v>10</v>
      </c>
    </row>
    <row r="21" spans="1:7" ht="15" customHeight="1">
      <c r="A21" s="2" t="s">
        <v>197</v>
      </c>
      <c r="B21" s="2" t="s">
        <v>198</v>
      </c>
      <c r="C21" s="2" t="s">
        <v>199</v>
      </c>
      <c r="D21" s="2" t="s">
        <v>170</v>
      </c>
      <c r="E21" s="7">
        <v>21</v>
      </c>
      <c r="F21" s="6">
        <v>694.82</v>
      </c>
      <c r="G21" s="2" t="s">
        <v>10</v>
      </c>
    </row>
    <row r="22" spans="1:7" ht="15" customHeight="1">
      <c r="A22" s="2" t="s">
        <v>200</v>
      </c>
      <c r="B22" s="2" t="s">
        <v>201</v>
      </c>
      <c r="C22" s="2" t="s">
        <v>199</v>
      </c>
      <c r="D22" s="2" t="s">
        <v>170</v>
      </c>
      <c r="E22" s="7">
        <v>20</v>
      </c>
      <c r="F22" s="6">
        <v>6673.84</v>
      </c>
      <c r="G22" s="2" t="s">
        <v>10</v>
      </c>
    </row>
    <row r="23" spans="1:7" ht="15" customHeight="1">
      <c r="A23" s="2" t="s">
        <v>202</v>
      </c>
      <c r="B23" s="2" t="s">
        <v>138</v>
      </c>
      <c r="C23" s="2" t="s">
        <v>199</v>
      </c>
      <c r="D23" s="2" t="s">
        <v>170</v>
      </c>
      <c r="E23" s="7">
        <v>20</v>
      </c>
      <c r="F23" s="6">
        <v>1626.6</v>
      </c>
      <c r="G23" s="2" t="s">
        <v>10</v>
      </c>
    </row>
    <row r="24" spans="1:7" ht="15" customHeight="1">
      <c r="A24" s="2" t="s">
        <v>203</v>
      </c>
      <c r="B24" s="2" t="s">
        <v>31</v>
      </c>
      <c r="C24" s="2" t="s">
        <v>199</v>
      </c>
      <c r="D24" s="2" t="s">
        <v>170</v>
      </c>
      <c r="E24" s="7">
        <v>21</v>
      </c>
      <c r="F24" s="6">
        <v>783.32</v>
      </c>
      <c r="G24" s="2" t="s">
        <v>10</v>
      </c>
    </row>
    <row r="25" spans="1:7" ht="15" customHeight="1">
      <c r="A25" s="2" t="s">
        <v>204</v>
      </c>
      <c r="B25" s="2" t="s">
        <v>205</v>
      </c>
      <c r="C25" s="2" t="s">
        <v>206</v>
      </c>
      <c r="D25" s="2" t="s">
        <v>170</v>
      </c>
      <c r="E25" s="7">
        <v>16</v>
      </c>
      <c r="F25" s="6">
        <v>3000</v>
      </c>
      <c r="G25" s="2" t="s">
        <v>10</v>
      </c>
    </row>
    <row r="26" spans="1:7" ht="15" customHeight="1">
      <c r="A26" s="2" t="s">
        <v>207</v>
      </c>
      <c r="B26" s="2" t="s">
        <v>208</v>
      </c>
      <c r="C26" s="2" t="s">
        <v>209</v>
      </c>
      <c r="D26" s="2" t="s">
        <v>170</v>
      </c>
      <c r="E26" s="7">
        <v>15</v>
      </c>
      <c r="F26" s="6">
        <v>11000</v>
      </c>
      <c r="G26" s="2" t="s">
        <v>10</v>
      </c>
    </row>
    <row r="27" spans="1:7" ht="15" customHeight="1">
      <c r="A27" s="2" t="s">
        <v>210</v>
      </c>
      <c r="B27" s="2" t="s">
        <v>25</v>
      </c>
      <c r="C27" s="2" t="s">
        <v>199</v>
      </c>
      <c r="D27" s="2" t="s">
        <v>170</v>
      </c>
      <c r="E27" s="7">
        <v>15</v>
      </c>
      <c r="F27" s="6">
        <v>2800</v>
      </c>
      <c r="G27" s="2" t="s">
        <v>10</v>
      </c>
    </row>
    <row r="28" spans="1:7" ht="15" customHeight="1">
      <c r="A28" s="2" t="s">
        <v>211</v>
      </c>
      <c r="B28" s="2" t="s">
        <v>25</v>
      </c>
      <c r="C28" s="2" t="s">
        <v>199</v>
      </c>
      <c r="D28" s="2" t="s">
        <v>170</v>
      </c>
      <c r="E28" s="7">
        <v>15</v>
      </c>
      <c r="F28" s="6">
        <v>400</v>
      </c>
      <c r="G28" s="2" t="s">
        <v>10</v>
      </c>
    </row>
    <row r="29" spans="1:7" ht="15" customHeight="1">
      <c r="A29" s="2" t="s">
        <v>212</v>
      </c>
      <c r="B29" s="2" t="s">
        <v>213</v>
      </c>
      <c r="C29" s="2" t="s">
        <v>214</v>
      </c>
      <c r="D29" s="2" t="s">
        <v>170</v>
      </c>
      <c r="E29" s="7">
        <v>13</v>
      </c>
      <c r="F29" s="6">
        <v>3900</v>
      </c>
      <c r="G29" s="2" t="s">
        <v>10</v>
      </c>
    </row>
    <row r="30" spans="1:7" ht="15" customHeight="1">
      <c r="A30" s="2" t="s">
        <v>215</v>
      </c>
      <c r="B30" s="2" t="s">
        <v>192</v>
      </c>
      <c r="C30" s="2" t="s">
        <v>216</v>
      </c>
      <c r="D30" s="2" t="s">
        <v>170</v>
      </c>
      <c r="E30" s="7">
        <v>13</v>
      </c>
      <c r="F30" s="6">
        <v>2000</v>
      </c>
      <c r="G30" s="2" t="s">
        <v>10</v>
      </c>
    </row>
    <row r="31" spans="1:7" ht="15" customHeight="1">
      <c r="A31" s="2" t="s">
        <v>217</v>
      </c>
      <c r="B31" s="2" t="s">
        <v>218</v>
      </c>
      <c r="C31" s="2" t="s">
        <v>219</v>
      </c>
      <c r="D31" s="2" t="s">
        <v>170</v>
      </c>
      <c r="E31" s="7">
        <v>9</v>
      </c>
      <c r="F31" s="6">
        <v>4886.2</v>
      </c>
      <c r="G31" s="2" t="s">
        <v>10</v>
      </c>
    </row>
    <row r="32" spans="1:7" ht="15" customHeight="1">
      <c r="A32" s="2" t="s">
        <v>220</v>
      </c>
      <c r="B32" s="2" t="s">
        <v>27</v>
      </c>
      <c r="C32" s="2" t="s">
        <v>219</v>
      </c>
      <c r="D32" s="2" t="s">
        <v>170</v>
      </c>
      <c r="E32" s="7">
        <v>9</v>
      </c>
      <c r="F32" s="6">
        <v>3200</v>
      </c>
      <c r="G32" s="2" t="s">
        <v>10</v>
      </c>
    </row>
    <row r="33" spans="1:7" ht="15" customHeight="1">
      <c r="A33" s="2" t="s">
        <v>221</v>
      </c>
      <c r="B33" s="2" t="s">
        <v>27</v>
      </c>
      <c r="C33" s="2" t="s">
        <v>219</v>
      </c>
      <c r="D33" s="2" t="s">
        <v>170</v>
      </c>
      <c r="E33" s="7">
        <v>9</v>
      </c>
      <c r="F33" s="6">
        <v>6700</v>
      </c>
      <c r="G33" s="2" t="s">
        <v>10</v>
      </c>
    </row>
    <row r="34" spans="1:7" ht="15" customHeight="1">
      <c r="A34" s="2" t="s">
        <v>222</v>
      </c>
      <c r="B34" s="2" t="s">
        <v>223</v>
      </c>
      <c r="C34" s="2" t="s">
        <v>224</v>
      </c>
      <c r="D34" s="9" t="s">
        <v>225</v>
      </c>
      <c r="E34" s="7">
        <v>4</v>
      </c>
      <c r="F34" s="6">
        <v>1800</v>
      </c>
      <c r="G34" s="2" t="s">
        <v>11</v>
      </c>
    </row>
    <row r="35" spans="1:7" ht="15" customHeight="1">
      <c r="A35" s="2" t="s">
        <v>226</v>
      </c>
      <c r="B35" s="2" t="s">
        <v>31</v>
      </c>
      <c r="C35" s="2" t="s">
        <v>227</v>
      </c>
      <c r="D35" s="9" t="s">
        <v>225</v>
      </c>
      <c r="E35" s="7">
        <v>5</v>
      </c>
      <c r="F35" s="6">
        <v>557.6</v>
      </c>
      <c r="G35" s="2" t="s">
        <v>11</v>
      </c>
    </row>
    <row r="36" spans="1:7" ht="15" customHeight="1">
      <c r="A36" s="2" t="s">
        <v>141</v>
      </c>
      <c r="B36" s="2" t="s">
        <v>228</v>
      </c>
      <c r="C36" s="2" t="s">
        <v>229</v>
      </c>
      <c r="D36" s="9" t="s">
        <v>225</v>
      </c>
      <c r="E36" s="7">
        <v>1</v>
      </c>
      <c r="F36" s="6">
        <v>2600</v>
      </c>
      <c r="G36" s="2" t="s">
        <v>11</v>
      </c>
    </row>
    <row r="37" spans="1:7" ht="15" customHeight="1">
      <c r="A37" s="2" t="s">
        <v>137</v>
      </c>
      <c r="B37" s="2" t="s">
        <v>138</v>
      </c>
      <c r="C37" s="2" t="s">
        <v>230</v>
      </c>
      <c r="D37" s="9" t="s">
        <v>225</v>
      </c>
      <c r="E37" s="7">
        <v>4</v>
      </c>
      <c r="F37" s="6">
        <v>1400</v>
      </c>
      <c r="G37" s="2" t="s">
        <v>11</v>
      </c>
    </row>
    <row r="38" spans="1:7" ht="15" customHeight="1">
      <c r="A38" s="2" t="s">
        <v>135</v>
      </c>
      <c r="B38" s="2" t="s">
        <v>31</v>
      </c>
      <c r="C38" s="2" t="s">
        <v>231</v>
      </c>
      <c r="D38" s="9" t="s">
        <v>225</v>
      </c>
      <c r="E38" s="7">
        <v>9</v>
      </c>
      <c r="F38" s="6">
        <v>700.32</v>
      </c>
      <c r="G38" s="2" t="s">
        <v>11</v>
      </c>
    </row>
    <row r="39" spans="1:7" ht="15" customHeight="1">
      <c r="A39" s="2" t="s">
        <v>232</v>
      </c>
      <c r="B39" s="2" t="s">
        <v>31</v>
      </c>
      <c r="C39" s="2" t="s">
        <v>233</v>
      </c>
      <c r="D39" s="9" t="s">
        <v>225</v>
      </c>
      <c r="E39" s="7">
        <v>12</v>
      </c>
      <c r="F39" s="6">
        <v>480.32</v>
      </c>
      <c r="G39" s="2" t="s">
        <v>11</v>
      </c>
    </row>
    <row r="40" spans="1:7" ht="15" customHeight="1">
      <c r="A40" s="2" t="s">
        <v>130</v>
      </c>
      <c r="B40" s="2" t="s">
        <v>27</v>
      </c>
      <c r="C40" s="2" t="s">
        <v>234</v>
      </c>
      <c r="D40" s="9" t="s">
        <v>225</v>
      </c>
      <c r="E40" s="7">
        <v>13</v>
      </c>
      <c r="F40" s="6">
        <v>2600</v>
      </c>
      <c r="G40" s="2" t="s">
        <v>11</v>
      </c>
    </row>
    <row r="41" spans="1:7" ht="15" customHeight="1">
      <c r="A41" s="2" t="s">
        <v>127</v>
      </c>
      <c r="B41" s="2" t="s">
        <v>27</v>
      </c>
      <c r="C41" s="2" t="s">
        <v>235</v>
      </c>
      <c r="D41" s="9" t="s">
        <v>225</v>
      </c>
      <c r="E41" s="7">
        <v>14</v>
      </c>
      <c r="F41" s="6">
        <v>6700</v>
      </c>
      <c r="G41" s="2" t="s">
        <v>11</v>
      </c>
    </row>
    <row r="42" spans="1:7" ht="15" customHeight="1">
      <c r="A42" s="2" t="s">
        <v>125</v>
      </c>
      <c r="B42" s="2" t="s">
        <v>126</v>
      </c>
      <c r="C42" s="2" t="s">
        <v>236</v>
      </c>
      <c r="D42" s="9" t="s">
        <v>225</v>
      </c>
      <c r="E42" s="7">
        <v>18</v>
      </c>
      <c r="F42" s="6">
        <v>500</v>
      </c>
      <c r="G42" s="2" t="s">
        <v>11</v>
      </c>
    </row>
    <row r="43" spans="1:7" ht="15" customHeight="1">
      <c r="A43" s="2" t="s">
        <v>122</v>
      </c>
      <c r="B43" s="2" t="s">
        <v>25</v>
      </c>
      <c r="C43" s="2" t="s">
        <v>236</v>
      </c>
      <c r="D43" s="9" t="s">
        <v>225</v>
      </c>
      <c r="E43" s="7">
        <v>18</v>
      </c>
      <c r="F43" s="6">
        <v>1500</v>
      </c>
      <c r="G43" s="2" t="s">
        <v>11</v>
      </c>
    </row>
    <row r="44" spans="1:7" ht="15" customHeight="1">
      <c r="A44" s="2" t="s">
        <v>121</v>
      </c>
      <c r="B44" s="2" t="s">
        <v>29</v>
      </c>
      <c r="C44" s="2" t="s">
        <v>237</v>
      </c>
      <c r="D44" s="9" t="s">
        <v>225</v>
      </c>
      <c r="E44" s="7">
        <v>21</v>
      </c>
      <c r="F44" s="6">
        <v>630</v>
      </c>
      <c r="G44" s="2" t="s">
        <v>11</v>
      </c>
    </row>
    <row r="45" spans="1:7" ht="15" customHeight="1">
      <c r="A45" s="2" t="s">
        <v>119</v>
      </c>
      <c r="B45" s="2" t="s">
        <v>29</v>
      </c>
      <c r="C45" s="2" t="s">
        <v>237</v>
      </c>
      <c r="D45" s="9" t="s">
        <v>225</v>
      </c>
      <c r="E45" s="7">
        <v>21</v>
      </c>
      <c r="F45" s="6">
        <v>1500</v>
      </c>
      <c r="G45" s="2" t="s">
        <v>11</v>
      </c>
    </row>
    <row r="46" spans="1:7" ht="15" customHeight="1">
      <c r="A46" s="2" t="s">
        <v>115</v>
      </c>
      <c r="B46" s="2" t="s">
        <v>116</v>
      </c>
      <c r="C46" s="2" t="s">
        <v>238</v>
      </c>
      <c r="D46" s="9" t="s">
        <v>225</v>
      </c>
      <c r="E46" s="7">
        <v>26</v>
      </c>
      <c r="F46" s="6">
        <v>1600</v>
      </c>
      <c r="G46" s="2" t="s">
        <v>11</v>
      </c>
    </row>
    <row r="47" spans="1:7" ht="15" customHeight="1">
      <c r="A47" s="2" t="s">
        <v>110</v>
      </c>
      <c r="B47" s="2" t="s">
        <v>111</v>
      </c>
      <c r="C47" s="2" t="s">
        <v>239</v>
      </c>
      <c r="D47" s="9" t="s">
        <v>225</v>
      </c>
      <c r="E47" s="7">
        <v>28</v>
      </c>
      <c r="F47" s="6">
        <v>5000</v>
      </c>
      <c r="G47" s="2" t="s">
        <v>11</v>
      </c>
    </row>
    <row r="48" spans="1:7" ht="15" customHeight="1">
      <c r="A48" s="2" t="s">
        <v>106</v>
      </c>
      <c r="B48" s="2" t="s">
        <v>107</v>
      </c>
      <c r="C48" s="2" t="s">
        <v>240</v>
      </c>
      <c r="D48" s="10" t="s">
        <v>225</v>
      </c>
      <c r="E48" s="7">
        <v>35</v>
      </c>
      <c r="F48" s="6">
        <v>600</v>
      </c>
      <c r="G48" s="2" t="s">
        <v>12</v>
      </c>
    </row>
    <row r="49" spans="1:8" ht="15" customHeight="1">
      <c r="A49" s="2" t="s">
        <v>101</v>
      </c>
      <c r="B49" s="2" t="s">
        <v>31</v>
      </c>
      <c r="C49" s="2" t="s">
        <v>241</v>
      </c>
      <c r="D49" s="10" t="s">
        <v>225</v>
      </c>
      <c r="E49" s="7">
        <v>40</v>
      </c>
      <c r="F49" s="6">
        <v>1940.6</v>
      </c>
      <c r="G49" s="2" t="s">
        <v>12</v>
      </c>
    </row>
    <row r="50" spans="1:8" ht="15" customHeight="1">
      <c r="A50" s="2" t="s">
        <v>99</v>
      </c>
      <c r="B50" s="2" t="s">
        <v>25</v>
      </c>
      <c r="C50" s="2" t="s">
        <v>242</v>
      </c>
      <c r="D50" s="10" t="s">
        <v>225</v>
      </c>
      <c r="E50" s="7">
        <v>42</v>
      </c>
      <c r="F50" s="6">
        <v>800</v>
      </c>
      <c r="G50" s="2" t="s">
        <v>12</v>
      </c>
    </row>
    <row r="51" spans="1:8" ht="15" customHeight="1">
      <c r="A51" s="2" t="s">
        <v>90</v>
      </c>
      <c r="B51" s="2" t="s">
        <v>91</v>
      </c>
      <c r="C51" s="2" t="s">
        <v>243</v>
      </c>
      <c r="D51" s="10" t="s">
        <v>225</v>
      </c>
      <c r="E51" s="7">
        <v>47</v>
      </c>
      <c r="F51" s="6">
        <v>150</v>
      </c>
      <c r="G51" s="2" t="s">
        <v>12</v>
      </c>
    </row>
    <row r="52" spans="1:8" ht="15" customHeight="1">
      <c r="A52" s="2" t="s">
        <v>87</v>
      </c>
      <c r="B52" s="2" t="s">
        <v>25</v>
      </c>
      <c r="C52" s="2" t="s">
        <v>243</v>
      </c>
      <c r="D52" s="10" t="s">
        <v>225</v>
      </c>
      <c r="E52" s="7">
        <v>47</v>
      </c>
      <c r="F52" s="6">
        <v>800</v>
      </c>
      <c r="G52" s="2" t="s">
        <v>12</v>
      </c>
    </row>
    <row r="53" spans="1:8" ht="15" customHeight="1">
      <c r="A53" s="2" t="s">
        <v>244</v>
      </c>
      <c r="B53" s="2" t="s">
        <v>74</v>
      </c>
      <c r="C53" s="2" t="s">
        <v>245</v>
      </c>
      <c r="D53" s="10" t="s">
        <v>225</v>
      </c>
      <c r="E53" s="7">
        <v>54</v>
      </c>
      <c r="F53" s="6">
        <v>2800</v>
      </c>
      <c r="G53" s="2" t="s">
        <v>12</v>
      </c>
    </row>
    <row r="54" spans="1:8" ht="15" customHeight="1">
      <c r="A54" s="2" t="s">
        <v>103</v>
      </c>
      <c r="B54" s="2" t="s">
        <v>104</v>
      </c>
      <c r="C54" s="2" t="s">
        <v>246</v>
      </c>
      <c r="D54" s="10" t="s">
        <v>225</v>
      </c>
      <c r="E54" s="7">
        <v>39</v>
      </c>
      <c r="F54" s="6">
        <v>3300</v>
      </c>
      <c r="G54" s="2" t="s">
        <v>12</v>
      </c>
    </row>
    <row r="55" spans="1:8" ht="15" customHeight="1">
      <c r="A55" s="2" t="s">
        <v>95</v>
      </c>
      <c r="B55" s="2" t="s">
        <v>96</v>
      </c>
      <c r="C55" s="2" t="s">
        <v>247</v>
      </c>
      <c r="D55" s="10" t="s">
        <v>225</v>
      </c>
      <c r="E55" s="7">
        <v>44</v>
      </c>
      <c r="F55" s="6">
        <v>2000</v>
      </c>
      <c r="G55" s="2" t="s">
        <v>12</v>
      </c>
    </row>
    <row r="56" spans="1:8" ht="15" customHeight="1">
      <c r="A56" s="2" t="s">
        <v>81</v>
      </c>
      <c r="B56" s="2" t="s">
        <v>25</v>
      </c>
      <c r="C56" s="2" t="s">
        <v>248</v>
      </c>
      <c r="D56" s="10" t="s">
        <v>225</v>
      </c>
      <c r="E56" s="7">
        <v>45</v>
      </c>
      <c r="F56" s="6">
        <v>4400</v>
      </c>
      <c r="G56" s="2" t="s">
        <v>12</v>
      </c>
    </row>
    <row r="57" spans="1:8" ht="15" customHeight="1">
      <c r="A57" s="2" t="s">
        <v>249</v>
      </c>
      <c r="B57" s="2" t="s">
        <v>77</v>
      </c>
      <c r="C57" s="2" t="s">
        <v>250</v>
      </c>
      <c r="D57" s="11" t="s">
        <v>225</v>
      </c>
      <c r="E57" s="7">
        <v>70</v>
      </c>
      <c r="F57" s="6">
        <v>1200</v>
      </c>
      <c r="G57" s="2" t="s">
        <v>13</v>
      </c>
    </row>
    <row r="58" spans="1:8" ht="15" customHeight="1">
      <c r="A58" s="2" t="s">
        <v>92</v>
      </c>
      <c r="B58" s="2" t="s">
        <v>93</v>
      </c>
      <c r="C58" s="2" t="s">
        <v>233</v>
      </c>
      <c r="D58" s="9" t="s">
        <v>225</v>
      </c>
      <c r="E58" s="7">
        <v>16</v>
      </c>
      <c r="F58" s="6">
        <v>3465</v>
      </c>
      <c r="G58" s="2" t="s">
        <v>11</v>
      </c>
    </row>
    <row r="59" spans="1:8" ht="15" customHeight="1">
      <c r="A59" s="2" t="s">
        <v>73</v>
      </c>
      <c r="B59" s="2" t="s">
        <v>74</v>
      </c>
      <c r="C59" s="2" t="s">
        <v>251</v>
      </c>
      <c r="D59" s="11" t="s">
        <v>225</v>
      </c>
      <c r="E59" s="7">
        <v>123</v>
      </c>
      <c r="F59" s="6">
        <v>6200</v>
      </c>
      <c r="G59" s="2" t="s">
        <v>14</v>
      </c>
    </row>
    <row r="60" spans="1:8" ht="15" customHeight="1">
      <c r="A60" s="9" t="s">
        <v>252</v>
      </c>
      <c r="B60" s="21"/>
      <c r="C60" s="21"/>
      <c r="D60" s="21"/>
      <c r="E60" s="21"/>
      <c r="F60" s="24">
        <f>SUM(F5:F59)</f>
        <v>151212.82</v>
      </c>
      <c r="G60" s="21"/>
      <c r="H60" s="21"/>
    </row>
  </sheetData>
  <autoFilter ref="A4:H59" xr:uid="{00000000-0009-0000-0000-000002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35"/>
  <sheetViews>
    <sheetView showGridLines="0" zoomScaleNormal="100" workbookViewId="0">
      <pane xSplit="1" ySplit="4" topLeftCell="B14" activePane="bottomRight" state="frozen"/>
      <selection pane="bottomRight" sqref="A1:H1"/>
      <selection pane="bottomLeft" activeCell="A5" sqref="A5"/>
      <selection pane="topRight" activeCell="B1" sqref="B1"/>
    </sheetView>
  </sheetViews>
  <sheetFormatPr defaultColWidth="8.7109375" defaultRowHeight="15"/>
  <cols>
    <col min="1" max="1" width="34" customWidth="1"/>
    <col min="2" max="6" width="13" customWidth="1"/>
    <col min="7" max="7" width="14" customWidth="1"/>
    <col min="8" max="8" width="8" customWidth="1"/>
  </cols>
  <sheetData>
    <row r="1" spans="1:8" ht="19.5" customHeight="1">
      <c r="A1" s="45" t="s">
        <v>253</v>
      </c>
      <c r="B1" s="45"/>
      <c r="C1" s="45"/>
      <c r="D1" s="45"/>
      <c r="E1" s="45"/>
      <c r="F1" s="45"/>
      <c r="G1" s="45"/>
      <c r="H1" s="45"/>
    </row>
    <row r="2" spans="1:8" ht="15" customHeight="1">
      <c r="A2" s="46" t="s">
        <v>254</v>
      </c>
      <c r="B2" s="46"/>
      <c r="C2" s="46"/>
      <c r="D2" s="46"/>
      <c r="E2" s="46"/>
      <c r="F2" s="46"/>
      <c r="G2" s="46"/>
      <c r="H2" s="46"/>
    </row>
    <row r="4" spans="1:8" ht="27.75" customHeight="1">
      <c r="A4" s="25" t="s">
        <v>65</v>
      </c>
      <c r="B4" s="25" t="s">
        <v>10</v>
      </c>
      <c r="C4" s="25" t="s">
        <v>11</v>
      </c>
      <c r="D4" s="25" t="s">
        <v>12</v>
      </c>
      <c r="E4" s="25" t="s">
        <v>13</v>
      </c>
      <c r="F4" s="25" t="s">
        <v>14</v>
      </c>
      <c r="G4" s="25" t="s">
        <v>252</v>
      </c>
      <c r="H4" s="25" t="s">
        <v>255</v>
      </c>
    </row>
    <row r="5" spans="1:8" ht="15" customHeight="1">
      <c r="A5" s="14" t="s">
        <v>29</v>
      </c>
      <c r="B5" s="6">
        <v>25200</v>
      </c>
      <c r="C5" s="26">
        <v>2130</v>
      </c>
      <c r="G5" s="27">
        <v>27330</v>
      </c>
      <c r="H5" s="7">
        <v>4</v>
      </c>
    </row>
    <row r="6" spans="1:8" ht="15" customHeight="1">
      <c r="A6" s="14" t="s">
        <v>27</v>
      </c>
      <c r="B6" s="6">
        <v>10822.4</v>
      </c>
      <c r="C6" s="26">
        <v>9300</v>
      </c>
      <c r="G6" s="27">
        <v>20122.400000000001</v>
      </c>
      <c r="H6" s="7">
        <v>5</v>
      </c>
    </row>
    <row r="7" spans="1:8" ht="15" customHeight="1">
      <c r="A7" s="14" t="s">
        <v>25</v>
      </c>
      <c r="B7" s="6">
        <v>5600</v>
      </c>
      <c r="C7" s="26">
        <v>1500</v>
      </c>
      <c r="D7" s="28">
        <v>6000</v>
      </c>
      <c r="G7" s="27">
        <v>13100</v>
      </c>
      <c r="H7" s="7">
        <v>8</v>
      </c>
    </row>
    <row r="8" spans="1:8" ht="15" customHeight="1">
      <c r="A8" s="14" t="s">
        <v>208</v>
      </c>
      <c r="B8" s="6">
        <v>11000</v>
      </c>
      <c r="G8" s="27">
        <v>11000</v>
      </c>
      <c r="H8" s="7">
        <v>1</v>
      </c>
    </row>
    <row r="9" spans="1:8" ht="15" customHeight="1">
      <c r="A9" s="14" t="s">
        <v>74</v>
      </c>
      <c r="D9" s="28">
        <v>2800</v>
      </c>
      <c r="F9" s="29">
        <v>6200</v>
      </c>
      <c r="G9" s="27">
        <v>9000</v>
      </c>
      <c r="H9" s="7">
        <v>2</v>
      </c>
    </row>
    <row r="10" spans="1:8" ht="15" customHeight="1">
      <c r="A10" s="14" t="s">
        <v>93</v>
      </c>
      <c r="B10" s="6">
        <v>4800</v>
      </c>
      <c r="C10" s="26">
        <v>3465</v>
      </c>
      <c r="G10" s="27">
        <v>8265</v>
      </c>
      <c r="H10" s="7">
        <v>2</v>
      </c>
    </row>
    <row r="11" spans="1:8" ht="15" customHeight="1">
      <c r="A11" s="14" t="s">
        <v>201</v>
      </c>
      <c r="B11" s="6">
        <v>6673.84</v>
      </c>
      <c r="G11" s="27">
        <v>6673.84</v>
      </c>
      <c r="H11" s="7">
        <v>1</v>
      </c>
    </row>
    <row r="12" spans="1:8" ht="15" customHeight="1">
      <c r="A12" s="14" t="s">
        <v>111</v>
      </c>
      <c r="C12" s="26">
        <v>5000</v>
      </c>
      <c r="G12" s="27">
        <v>5000</v>
      </c>
      <c r="H12" s="7">
        <v>1</v>
      </c>
    </row>
    <row r="13" spans="1:8" ht="15" customHeight="1">
      <c r="A13" s="14" t="s">
        <v>218</v>
      </c>
      <c r="B13" s="6">
        <v>4886.2</v>
      </c>
      <c r="G13" s="27">
        <v>4886.2</v>
      </c>
      <c r="H13" s="7">
        <v>1</v>
      </c>
    </row>
    <row r="14" spans="1:8" ht="15" customHeight="1">
      <c r="A14" s="14" t="s">
        <v>31</v>
      </c>
      <c r="B14" s="6">
        <v>783.32</v>
      </c>
      <c r="C14" s="26">
        <v>1738.24</v>
      </c>
      <c r="D14" s="28">
        <v>1940.6</v>
      </c>
      <c r="G14" s="27">
        <v>4462.16</v>
      </c>
      <c r="H14" s="7">
        <v>5</v>
      </c>
    </row>
    <row r="15" spans="1:8" ht="15" customHeight="1">
      <c r="A15" s="14" t="s">
        <v>213</v>
      </c>
      <c r="B15" s="6">
        <v>3900</v>
      </c>
      <c r="G15" s="27">
        <v>3900</v>
      </c>
      <c r="H15" s="7">
        <v>1</v>
      </c>
    </row>
    <row r="16" spans="1:8" ht="15" customHeight="1">
      <c r="A16" s="14" t="s">
        <v>190</v>
      </c>
      <c r="B16" s="6">
        <v>3760</v>
      </c>
      <c r="G16" s="27">
        <v>3760</v>
      </c>
      <c r="H16" s="7">
        <v>2</v>
      </c>
    </row>
    <row r="17" spans="1:8" ht="15" customHeight="1">
      <c r="A17" s="14" t="s">
        <v>184</v>
      </c>
      <c r="B17" s="6">
        <v>3750</v>
      </c>
      <c r="G17" s="27">
        <v>3750</v>
      </c>
      <c r="H17" s="7">
        <v>1</v>
      </c>
    </row>
    <row r="18" spans="1:8" ht="15" customHeight="1">
      <c r="A18" s="14" t="s">
        <v>138</v>
      </c>
      <c r="B18" s="6">
        <v>2141.6</v>
      </c>
      <c r="C18" s="26">
        <v>1400</v>
      </c>
      <c r="G18" s="27">
        <v>3541.6</v>
      </c>
      <c r="H18" s="7">
        <v>3</v>
      </c>
    </row>
    <row r="19" spans="1:8" ht="15" customHeight="1">
      <c r="A19" s="14" t="s">
        <v>104</v>
      </c>
      <c r="D19" s="28">
        <v>3300</v>
      </c>
      <c r="G19" s="27">
        <v>3300</v>
      </c>
      <c r="H19" s="7">
        <v>1</v>
      </c>
    </row>
    <row r="20" spans="1:8" ht="15" customHeight="1">
      <c r="A20" s="14" t="s">
        <v>205</v>
      </c>
      <c r="B20" s="6">
        <v>3000</v>
      </c>
      <c r="G20" s="27">
        <v>3000</v>
      </c>
      <c r="H20" s="7">
        <v>1</v>
      </c>
    </row>
    <row r="21" spans="1:8" ht="15" customHeight="1">
      <c r="A21" s="14" t="s">
        <v>192</v>
      </c>
      <c r="B21" s="6">
        <v>2800</v>
      </c>
      <c r="G21" s="27">
        <v>2800</v>
      </c>
      <c r="H21" s="7">
        <v>2</v>
      </c>
    </row>
    <row r="22" spans="1:8" ht="15" customHeight="1">
      <c r="A22" s="14" t="s">
        <v>228</v>
      </c>
      <c r="C22" s="26">
        <v>2600</v>
      </c>
      <c r="G22" s="27">
        <v>2600</v>
      </c>
      <c r="H22" s="7">
        <v>1</v>
      </c>
    </row>
    <row r="23" spans="1:8" ht="15" customHeight="1">
      <c r="A23" s="14" t="s">
        <v>179</v>
      </c>
      <c r="B23" s="6">
        <v>2416.8000000000002</v>
      </c>
      <c r="G23" s="27">
        <v>2416.8000000000002</v>
      </c>
      <c r="H23" s="7">
        <v>2</v>
      </c>
    </row>
    <row r="24" spans="1:8" ht="15" customHeight="1">
      <c r="A24" s="14" t="s">
        <v>96</v>
      </c>
      <c r="D24" s="28">
        <v>2000</v>
      </c>
      <c r="G24" s="27">
        <v>2000</v>
      </c>
      <c r="H24" s="7">
        <v>1</v>
      </c>
    </row>
    <row r="25" spans="1:8" ht="15" customHeight="1">
      <c r="A25" s="14" t="s">
        <v>176</v>
      </c>
      <c r="B25" s="6">
        <v>1800</v>
      </c>
      <c r="G25" s="27">
        <v>1800</v>
      </c>
      <c r="H25" s="7">
        <v>1</v>
      </c>
    </row>
    <row r="26" spans="1:8" ht="15" customHeight="1">
      <c r="A26" s="14" t="s">
        <v>223</v>
      </c>
      <c r="C26" s="26">
        <v>1800</v>
      </c>
      <c r="G26" s="27">
        <v>1800</v>
      </c>
      <c r="H26" s="7">
        <v>1</v>
      </c>
    </row>
    <row r="27" spans="1:8" ht="15" customHeight="1">
      <c r="A27" s="14" t="s">
        <v>116</v>
      </c>
      <c r="C27" s="26">
        <v>1600</v>
      </c>
      <c r="G27" s="27">
        <v>1600</v>
      </c>
      <c r="H27" s="7">
        <v>1</v>
      </c>
    </row>
    <row r="28" spans="1:8" ht="15" customHeight="1">
      <c r="A28" s="14" t="s">
        <v>77</v>
      </c>
      <c r="E28" s="29">
        <v>1200</v>
      </c>
      <c r="G28" s="27">
        <v>1200</v>
      </c>
      <c r="H28" s="7">
        <v>1</v>
      </c>
    </row>
    <row r="29" spans="1:8" ht="15" customHeight="1">
      <c r="A29" s="14" t="s">
        <v>196</v>
      </c>
      <c r="B29" s="6">
        <v>1160</v>
      </c>
      <c r="G29" s="27">
        <v>1160</v>
      </c>
      <c r="H29" s="7">
        <v>1</v>
      </c>
    </row>
    <row r="30" spans="1:8" ht="15" customHeight="1">
      <c r="A30" s="14" t="s">
        <v>187</v>
      </c>
      <c r="B30" s="6">
        <v>800</v>
      </c>
      <c r="G30" s="27">
        <v>800</v>
      </c>
      <c r="H30" s="7">
        <v>1</v>
      </c>
    </row>
    <row r="31" spans="1:8" ht="15" customHeight="1">
      <c r="A31" s="14" t="s">
        <v>198</v>
      </c>
      <c r="B31" s="6">
        <v>694.82</v>
      </c>
      <c r="G31" s="27">
        <v>694.82</v>
      </c>
      <c r="H31" s="7">
        <v>1</v>
      </c>
    </row>
    <row r="32" spans="1:8" ht="15" customHeight="1">
      <c r="A32" s="14" t="s">
        <v>107</v>
      </c>
      <c r="D32" s="28">
        <v>600</v>
      </c>
      <c r="G32" s="27">
        <v>600</v>
      </c>
      <c r="H32" s="7">
        <v>1</v>
      </c>
    </row>
    <row r="33" spans="1:8" ht="15" customHeight="1">
      <c r="A33" s="14" t="s">
        <v>126</v>
      </c>
      <c r="C33" s="26">
        <v>500</v>
      </c>
      <c r="G33" s="27">
        <v>500</v>
      </c>
      <c r="H33" s="7">
        <v>1</v>
      </c>
    </row>
    <row r="34" spans="1:8" ht="15" customHeight="1">
      <c r="A34" s="14" t="s">
        <v>91</v>
      </c>
      <c r="D34" s="28">
        <v>150</v>
      </c>
      <c r="G34" s="27">
        <v>150</v>
      </c>
      <c r="H34" s="7">
        <v>1</v>
      </c>
    </row>
    <row r="35" spans="1:8" ht="15" customHeight="1">
      <c r="A35" s="9" t="s">
        <v>252</v>
      </c>
      <c r="B35" s="24">
        <f t="shared" ref="B35:H35" si="0">SUM(B5:B34)</f>
        <v>95988.980000000025</v>
      </c>
      <c r="C35" s="24">
        <f t="shared" si="0"/>
        <v>31033.24</v>
      </c>
      <c r="D35" s="24">
        <f t="shared" si="0"/>
        <v>16790.599999999999</v>
      </c>
      <c r="E35" s="24">
        <f t="shared" si="0"/>
        <v>1200</v>
      </c>
      <c r="F35" s="24">
        <f t="shared" si="0"/>
        <v>6200</v>
      </c>
      <c r="G35" s="24">
        <f t="shared" si="0"/>
        <v>151212.82</v>
      </c>
      <c r="H35" s="30">
        <f t="shared" si="0"/>
        <v>55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"/>
  <sheetViews>
    <sheetView showGridLines="0" zoomScaleNormal="100" workbookViewId="0"/>
  </sheetViews>
  <sheetFormatPr defaultColWidth="8.7109375" defaultRowHeight="15"/>
  <cols>
    <col min="1" max="1" width="12" customWidth="1"/>
    <col min="2" max="2" width="10" customWidth="1"/>
    <col min="3" max="3" width="28" customWidth="1"/>
    <col min="4" max="4" width="16" customWidth="1"/>
    <col min="5" max="5" width="14" customWidth="1"/>
    <col min="6" max="6" width="24" customWidth="1"/>
    <col min="7" max="7" width="14" customWidth="1"/>
    <col min="8" max="9" width="30" customWidth="1"/>
  </cols>
  <sheetData>
    <row r="1" spans="1:8" ht="19.5" customHeight="1">
      <c r="A1" s="45" t="s">
        <v>256</v>
      </c>
      <c r="B1" s="45"/>
      <c r="C1" s="45"/>
      <c r="D1" s="45"/>
      <c r="E1" s="45"/>
      <c r="F1" s="45"/>
      <c r="G1" s="45"/>
      <c r="H1" s="45"/>
    </row>
    <row r="2" spans="1:8" ht="15" customHeight="1">
      <c r="A2" s="46" t="s">
        <v>257</v>
      </c>
      <c r="B2" s="46"/>
      <c r="C2" s="46"/>
      <c r="D2" s="46"/>
      <c r="E2" s="46"/>
      <c r="F2" s="46"/>
      <c r="G2" s="46"/>
      <c r="H2" s="46"/>
    </row>
    <row r="4" spans="1:8" ht="30" customHeight="1">
      <c r="A4" s="25" t="s">
        <v>258</v>
      </c>
      <c r="B4" s="25" t="s">
        <v>259</v>
      </c>
      <c r="C4" s="25" t="s">
        <v>65</v>
      </c>
      <c r="D4" s="25" t="s">
        <v>260</v>
      </c>
      <c r="E4" s="25" t="s">
        <v>261</v>
      </c>
      <c r="F4" s="25" t="s">
        <v>262</v>
      </c>
      <c r="G4" s="25" t="s">
        <v>263</v>
      </c>
      <c r="H4" s="25" t="s">
        <v>264</v>
      </c>
    </row>
    <row r="5" spans="1:8" ht="15" customHeight="1">
      <c r="A5" s="31" t="s">
        <v>265</v>
      </c>
      <c r="B5" s="31" t="s">
        <v>73</v>
      </c>
      <c r="C5" s="31" t="s">
        <v>74</v>
      </c>
      <c r="D5" s="31" t="s">
        <v>266</v>
      </c>
      <c r="E5" s="31" t="s">
        <v>94</v>
      </c>
      <c r="F5" s="31" t="s">
        <v>267</v>
      </c>
      <c r="G5" s="31" t="s">
        <v>268</v>
      </c>
      <c r="H5" s="31" t="s">
        <v>269</v>
      </c>
    </row>
  </sheetData>
  <mergeCells count="2">
    <mergeCell ref="A1:H1"/>
    <mergeCell ref="A2:H2"/>
  </mergeCells>
  <dataValidations count="3">
    <dataValidation type="list" allowBlank="1" sqref="D5:D200" xr:uid="{00000000-0002-0000-0400-000000000000}">
      <formula1>"Pre-due reminder,1st notice,2nd notice,3rd notice,Final notice,Phone call,Lawyer letter,Collections referral,Payment received,Payment plan agreed,Other"</formula1>
      <formula2>0</formula2>
    </dataValidation>
    <dataValidation type="list" allowBlank="1" sqref="E5:E200" xr:uid="{00000000-0002-0000-0400-000001000000}">
      <formula1>"Email,Phone,Text,Mail,In-person,Voicemail"</formula1>
      <formula2>0</formula2>
    </dataValidation>
    <dataValidation type="list" allowBlank="1" sqref="F5:F200" xr:uid="{00000000-0002-0000-0400-000002000000}">
      <formula1>"No response,Contact made - paying soon,Contact made - dispute,Contact made - cash flow issue,Promised by date,Payment received,No commitment,Awaiting,Other"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37"/>
  <sheetViews>
    <sheetView showGridLines="0" zoomScaleNormal="100" workbookViewId="0">
      <selection sqref="A1:F1"/>
    </sheetView>
  </sheetViews>
  <sheetFormatPr defaultColWidth="8.7109375" defaultRowHeight="15"/>
  <cols>
    <col min="1" max="1" width="14" customWidth="1"/>
    <col min="2" max="2" width="16" customWidth="1"/>
    <col min="3" max="3" width="22" customWidth="1"/>
    <col min="4" max="4" width="12" customWidth="1"/>
    <col min="5" max="5" width="16" customWidth="1"/>
    <col min="6" max="6" width="50" customWidth="1"/>
  </cols>
  <sheetData>
    <row r="1" spans="1:6" ht="19.5" customHeight="1">
      <c r="A1" s="45" t="s">
        <v>270</v>
      </c>
      <c r="B1" s="45"/>
      <c r="C1" s="45"/>
      <c r="D1" s="45"/>
      <c r="E1" s="45"/>
      <c r="F1" s="45"/>
    </row>
    <row r="2" spans="1:6" ht="15" customHeight="1">
      <c r="A2" s="46" t="s">
        <v>271</v>
      </c>
      <c r="B2" s="46"/>
      <c r="C2" s="46"/>
      <c r="D2" s="46"/>
      <c r="E2" s="46"/>
      <c r="F2" s="46"/>
    </row>
    <row r="4" spans="1:6" ht="15" customHeight="1">
      <c r="A4" s="50" t="s">
        <v>272</v>
      </c>
      <c r="B4" s="50"/>
      <c r="C4" s="50"/>
      <c r="D4" s="50"/>
      <c r="E4" s="50"/>
      <c r="F4" s="50"/>
    </row>
    <row r="5" spans="1:6" ht="15" customHeight="1">
      <c r="A5" s="5" t="s">
        <v>273</v>
      </c>
      <c r="B5" s="2" t="s">
        <v>274</v>
      </c>
      <c r="C5" s="46" t="s">
        <v>275</v>
      </c>
      <c r="D5" s="46"/>
      <c r="E5" s="46"/>
      <c r="F5" s="46"/>
    </row>
    <row r="6" spans="1:6" ht="15" customHeight="1">
      <c r="A6" s="14" t="s">
        <v>276</v>
      </c>
      <c r="B6" s="2" t="s">
        <v>277</v>
      </c>
      <c r="C6" s="46" t="s">
        <v>278</v>
      </c>
      <c r="D6" s="46"/>
      <c r="E6" s="46"/>
      <c r="F6" s="46"/>
    </row>
    <row r="7" spans="1:6" ht="15" customHeight="1">
      <c r="A7" s="14" t="s">
        <v>279</v>
      </c>
      <c r="B7" s="2" t="s">
        <v>280</v>
      </c>
      <c r="C7" s="46" t="s">
        <v>281</v>
      </c>
      <c r="D7" s="46"/>
      <c r="E7" s="46"/>
      <c r="F7" s="46"/>
    </row>
    <row r="8" spans="1:6" ht="15" customHeight="1">
      <c r="A8" s="14" t="s">
        <v>282</v>
      </c>
      <c r="B8" s="2" t="s">
        <v>283</v>
      </c>
      <c r="C8" s="46" t="s">
        <v>284</v>
      </c>
      <c r="D8" s="46"/>
      <c r="E8" s="46"/>
      <c r="F8" s="46"/>
    </row>
    <row r="9" spans="1:6" ht="15" customHeight="1">
      <c r="A9" s="10" t="s">
        <v>285</v>
      </c>
      <c r="B9" s="2" t="s">
        <v>286</v>
      </c>
      <c r="C9" s="46" t="s">
        <v>287</v>
      </c>
      <c r="D9" s="46"/>
      <c r="E9" s="46"/>
      <c r="F9" s="46"/>
    </row>
    <row r="11" spans="1:6" ht="15" customHeight="1">
      <c r="A11" s="47" t="s">
        <v>288</v>
      </c>
      <c r="B11" s="47"/>
      <c r="C11" s="47"/>
      <c r="D11" s="47"/>
      <c r="E11" s="47"/>
      <c r="F11" s="47"/>
    </row>
    <row r="12" spans="1:6" ht="15" customHeight="1">
      <c r="A12" s="4" t="s">
        <v>289</v>
      </c>
      <c r="B12" s="4" t="s">
        <v>17</v>
      </c>
      <c r="C12" s="4" t="s">
        <v>290</v>
      </c>
      <c r="D12" s="4" t="s">
        <v>291</v>
      </c>
      <c r="E12" s="4" t="s">
        <v>292</v>
      </c>
      <c r="F12" s="4" t="s">
        <v>167</v>
      </c>
    </row>
    <row r="13" spans="1:6" ht="15" customHeight="1">
      <c r="A13" t="s">
        <v>180</v>
      </c>
      <c r="B13" s="12">
        <v>151213</v>
      </c>
      <c r="C13" s="12">
        <v>1000000</v>
      </c>
      <c r="D13" s="15">
        <f>(B13/C13)*365</f>
        <v>55.192744999999995</v>
      </c>
      <c r="E13" t="s">
        <v>293</v>
      </c>
      <c r="F13" t="s">
        <v>294</v>
      </c>
    </row>
    <row r="14" spans="1:6" ht="15" customHeight="1">
      <c r="A14" s="32"/>
      <c r="B14" s="12"/>
      <c r="C14" s="12"/>
      <c r="D14" s="33" t="str">
        <f t="shared" ref="D14:D37" si="0">IF(B14&gt;0,(B14/C14)*365,"")</f>
        <v/>
      </c>
      <c r="E14" s="34" t="str">
        <f t="shared" ref="E14:E37" si="1">IF(D14&lt;&gt;"",D14-D13,"")</f>
        <v/>
      </c>
    </row>
    <row r="15" spans="1:6" ht="15" customHeight="1">
      <c r="A15" s="32"/>
      <c r="B15" s="12"/>
      <c r="C15" s="12"/>
      <c r="D15" s="33" t="str">
        <f t="shared" si="0"/>
        <v/>
      </c>
      <c r="E15" s="34" t="str">
        <f t="shared" si="1"/>
        <v/>
      </c>
    </row>
    <row r="16" spans="1:6" ht="15" customHeight="1">
      <c r="A16" s="32"/>
      <c r="B16" s="12"/>
      <c r="C16" s="12"/>
      <c r="D16" s="33" t="str">
        <f t="shared" si="0"/>
        <v/>
      </c>
      <c r="E16" s="34" t="str">
        <f t="shared" si="1"/>
        <v/>
      </c>
    </row>
    <row r="17" spans="1:5" ht="15" customHeight="1">
      <c r="A17" s="32"/>
      <c r="B17" s="12"/>
      <c r="C17" s="12"/>
      <c r="D17" s="33" t="str">
        <f t="shared" si="0"/>
        <v/>
      </c>
      <c r="E17" s="34" t="str">
        <f t="shared" si="1"/>
        <v/>
      </c>
    </row>
    <row r="18" spans="1:5" ht="15" customHeight="1">
      <c r="A18" s="32"/>
      <c r="B18" s="12"/>
      <c r="C18" s="12"/>
      <c r="D18" s="33" t="str">
        <f t="shared" si="0"/>
        <v/>
      </c>
      <c r="E18" s="34" t="str">
        <f t="shared" si="1"/>
        <v/>
      </c>
    </row>
    <row r="19" spans="1:5" ht="15" customHeight="1">
      <c r="A19" s="32"/>
      <c r="B19" s="12"/>
      <c r="C19" s="12"/>
      <c r="D19" s="33" t="str">
        <f t="shared" si="0"/>
        <v/>
      </c>
      <c r="E19" s="34" t="str">
        <f t="shared" si="1"/>
        <v/>
      </c>
    </row>
    <row r="20" spans="1:5" ht="15" customHeight="1">
      <c r="A20" s="32"/>
      <c r="B20" s="12"/>
      <c r="C20" s="12"/>
      <c r="D20" s="33" t="str">
        <f t="shared" si="0"/>
        <v/>
      </c>
      <c r="E20" s="34" t="str">
        <f t="shared" si="1"/>
        <v/>
      </c>
    </row>
    <row r="21" spans="1:5" ht="15" customHeight="1">
      <c r="A21" s="32"/>
      <c r="B21" s="12"/>
      <c r="C21" s="12"/>
      <c r="D21" s="33" t="str">
        <f t="shared" si="0"/>
        <v/>
      </c>
      <c r="E21" s="34" t="str">
        <f t="shared" si="1"/>
        <v/>
      </c>
    </row>
    <row r="22" spans="1:5" ht="15" customHeight="1">
      <c r="A22" s="32"/>
      <c r="B22" s="12"/>
      <c r="C22" s="12"/>
      <c r="D22" s="33" t="str">
        <f t="shared" si="0"/>
        <v/>
      </c>
      <c r="E22" s="34" t="str">
        <f t="shared" si="1"/>
        <v/>
      </c>
    </row>
    <row r="23" spans="1:5" ht="15" customHeight="1">
      <c r="A23" s="32"/>
      <c r="B23" s="12"/>
      <c r="C23" s="12"/>
      <c r="D23" s="33" t="str">
        <f t="shared" si="0"/>
        <v/>
      </c>
      <c r="E23" s="34" t="str">
        <f t="shared" si="1"/>
        <v/>
      </c>
    </row>
    <row r="24" spans="1:5" ht="15" customHeight="1">
      <c r="A24" s="32"/>
      <c r="B24" s="12"/>
      <c r="C24" s="12"/>
      <c r="D24" s="33" t="str">
        <f t="shared" si="0"/>
        <v/>
      </c>
      <c r="E24" s="34" t="str">
        <f t="shared" si="1"/>
        <v/>
      </c>
    </row>
    <row r="25" spans="1:5" ht="15" customHeight="1">
      <c r="A25" s="32"/>
      <c r="B25" s="12"/>
      <c r="C25" s="12"/>
      <c r="D25" s="33" t="str">
        <f t="shared" si="0"/>
        <v/>
      </c>
      <c r="E25" s="34" t="str">
        <f t="shared" si="1"/>
        <v/>
      </c>
    </row>
    <row r="26" spans="1:5" ht="15" customHeight="1">
      <c r="A26" s="32"/>
      <c r="B26" s="12"/>
      <c r="C26" s="12"/>
      <c r="D26" s="33" t="str">
        <f t="shared" si="0"/>
        <v/>
      </c>
      <c r="E26" s="34" t="str">
        <f t="shared" si="1"/>
        <v/>
      </c>
    </row>
    <row r="27" spans="1:5" ht="15" customHeight="1">
      <c r="A27" s="32"/>
      <c r="B27" s="12"/>
      <c r="C27" s="12"/>
      <c r="D27" s="33" t="str">
        <f t="shared" si="0"/>
        <v/>
      </c>
      <c r="E27" s="34" t="str">
        <f t="shared" si="1"/>
        <v/>
      </c>
    </row>
    <row r="28" spans="1:5" ht="15" customHeight="1">
      <c r="A28" s="32"/>
      <c r="B28" s="12"/>
      <c r="C28" s="12"/>
      <c r="D28" s="33" t="str">
        <f t="shared" si="0"/>
        <v/>
      </c>
      <c r="E28" s="34" t="str">
        <f t="shared" si="1"/>
        <v/>
      </c>
    </row>
    <row r="29" spans="1:5" ht="15" customHeight="1">
      <c r="A29" s="32"/>
      <c r="B29" s="12"/>
      <c r="C29" s="12"/>
      <c r="D29" s="33" t="str">
        <f t="shared" si="0"/>
        <v/>
      </c>
      <c r="E29" s="34" t="str">
        <f t="shared" si="1"/>
        <v/>
      </c>
    </row>
    <row r="30" spans="1:5" ht="15" customHeight="1">
      <c r="A30" s="32"/>
      <c r="B30" s="12"/>
      <c r="C30" s="12"/>
      <c r="D30" s="33" t="str">
        <f t="shared" si="0"/>
        <v/>
      </c>
      <c r="E30" s="34" t="str">
        <f t="shared" si="1"/>
        <v/>
      </c>
    </row>
    <row r="31" spans="1:5" ht="15" customHeight="1">
      <c r="A31" s="32"/>
      <c r="B31" s="12"/>
      <c r="C31" s="12"/>
      <c r="D31" s="33" t="str">
        <f t="shared" si="0"/>
        <v/>
      </c>
      <c r="E31" s="34" t="str">
        <f t="shared" si="1"/>
        <v/>
      </c>
    </row>
    <row r="32" spans="1:5" ht="15" customHeight="1">
      <c r="A32" s="32"/>
      <c r="B32" s="12"/>
      <c r="C32" s="12"/>
      <c r="D32" s="33" t="str">
        <f t="shared" si="0"/>
        <v/>
      </c>
      <c r="E32" s="34" t="str">
        <f t="shared" si="1"/>
        <v/>
      </c>
    </row>
    <row r="33" spans="1:5" ht="15" customHeight="1">
      <c r="A33" s="32"/>
      <c r="B33" s="12"/>
      <c r="C33" s="12"/>
      <c r="D33" s="33" t="str">
        <f t="shared" si="0"/>
        <v/>
      </c>
      <c r="E33" s="34" t="str">
        <f t="shared" si="1"/>
        <v/>
      </c>
    </row>
    <row r="34" spans="1:5" ht="15" customHeight="1">
      <c r="A34" s="32"/>
      <c r="B34" s="12"/>
      <c r="C34" s="12"/>
      <c r="D34" s="33" t="str">
        <f t="shared" si="0"/>
        <v/>
      </c>
      <c r="E34" s="34" t="str">
        <f t="shared" si="1"/>
        <v/>
      </c>
    </row>
    <row r="35" spans="1:5" ht="15" customHeight="1">
      <c r="A35" s="32"/>
      <c r="B35" s="12"/>
      <c r="C35" s="12"/>
      <c r="D35" s="33" t="str">
        <f t="shared" si="0"/>
        <v/>
      </c>
      <c r="E35" s="34" t="str">
        <f t="shared" si="1"/>
        <v/>
      </c>
    </row>
    <row r="36" spans="1:5" ht="15" customHeight="1">
      <c r="A36" s="32"/>
      <c r="B36" s="12"/>
      <c r="C36" s="12"/>
      <c r="D36" s="33" t="str">
        <f t="shared" si="0"/>
        <v/>
      </c>
      <c r="E36" s="34" t="str">
        <f t="shared" si="1"/>
        <v/>
      </c>
    </row>
    <row r="37" spans="1:5" ht="15" customHeight="1">
      <c r="A37" s="32"/>
      <c r="B37" s="12"/>
      <c r="C37" s="12"/>
      <c r="D37" s="33" t="str">
        <f t="shared" si="0"/>
        <v/>
      </c>
      <c r="E37" s="34" t="str">
        <f t="shared" si="1"/>
        <v/>
      </c>
    </row>
  </sheetData>
  <mergeCells count="9">
    <mergeCell ref="C7:F7"/>
    <mergeCell ref="C8:F8"/>
    <mergeCell ref="C9:F9"/>
    <mergeCell ref="A11:F11"/>
    <mergeCell ref="A1:F1"/>
    <mergeCell ref="A2:F2"/>
    <mergeCell ref="A4:F4"/>
    <mergeCell ref="C5:F5"/>
    <mergeCell ref="C6:F6"/>
  </mergeCells>
  <conditionalFormatting sqref="D13:D40">
    <cfRule type="cellIs" dxfId="1" priority="2" operator="lessThan">
      <formula>50</formula>
    </cfRule>
    <cfRule type="cellIs" dxfId="0" priority="3" operator="greaterThan">
      <formula>65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38"/>
  <sheetViews>
    <sheetView showGridLines="0" topLeftCell="A3" zoomScaleNormal="100" workbookViewId="0">
      <selection activeCell="E13" sqref="E13"/>
    </sheetView>
  </sheetViews>
  <sheetFormatPr defaultColWidth="8.7109375" defaultRowHeight="15"/>
  <cols>
    <col min="1" max="1" width="14" customWidth="1"/>
    <col min="2" max="2" width="32" customWidth="1"/>
    <col min="3" max="3" width="14" customWidth="1"/>
    <col min="4" max="4" width="18" customWidth="1"/>
    <col min="5" max="5" width="16" customWidth="1"/>
  </cols>
  <sheetData>
    <row r="1" spans="1:5" ht="19.5" customHeight="1">
      <c r="A1" s="45" t="s">
        <v>295</v>
      </c>
      <c r="B1" s="45"/>
      <c r="C1" s="45"/>
      <c r="D1" s="45"/>
      <c r="E1" s="45"/>
    </row>
    <row r="2" spans="1:5" ht="15" customHeight="1">
      <c r="A2" s="46" t="s">
        <v>296</v>
      </c>
      <c r="B2" s="46"/>
      <c r="C2" s="46"/>
      <c r="D2" s="46"/>
      <c r="E2" s="46"/>
    </row>
    <row r="4" spans="1:5" ht="15" customHeight="1">
      <c r="A4" s="47" t="s">
        <v>297</v>
      </c>
      <c r="B4" s="47"/>
      <c r="C4" s="47"/>
      <c r="D4" s="47"/>
      <c r="E4" s="47"/>
    </row>
    <row r="5" spans="1:5" ht="15" customHeight="1">
      <c r="A5" s="4" t="s">
        <v>298</v>
      </c>
      <c r="B5" s="4" t="s">
        <v>69</v>
      </c>
      <c r="C5" s="4" t="s">
        <v>299</v>
      </c>
      <c r="D5" s="4" t="s">
        <v>300</v>
      </c>
      <c r="E5" s="4" t="s">
        <v>301</v>
      </c>
    </row>
    <row r="6" spans="1:5" ht="15" customHeight="1">
      <c r="A6" s="2" t="s">
        <v>302</v>
      </c>
      <c r="B6" s="2" t="s">
        <v>303</v>
      </c>
      <c r="C6" s="2" t="s">
        <v>304</v>
      </c>
      <c r="D6" s="2" t="s">
        <v>293</v>
      </c>
      <c r="E6" s="2" t="s">
        <v>305</v>
      </c>
    </row>
    <row r="7" spans="1:5" ht="15" customHeight="1">
      <c r="A7" s="2" t="s">
        <v>306</v>
      </c>
      <c r="B7" s="2" t="s">
        <v>307</v>
      </c>
      <c r="C7" s="2" t="s">
        <v>308</v>
      </c>
      <c r="D7" s="2" t="s">
        <v>309</v>
      </c>
      <c r="E7" s="2" t="s">
        <v>310</v>
      </c>
    </row>
    <row r="8" spans="1:5" ht="15" customHeight="1">
      <c r="A8" s="2" t="s">
        <v>311</v>
      </c>
      <c r="B8" s="2" t="s">
        <v>312</v>
      </c>
      <c r="C8" s="2" t="s">
        <v>313</v>
      </c>
      <c r="D8" s="2" t="s">
        <v>314</v>
      </c>
      <c r="E8" s="2" t="s">
        <v>315</v>
      </c>
    </row>
    <row r="9" spans="1:5" ht="15" customHeight="1">
      <c r="A9" s="2" t="s">
        <v>316</v>
      </c>
      <c r="B9" s="2" t="s">
        <v>317</v>
      </c>
      <c r="C9" s="2" t="s">
        <v>313</v>
      </c>
      <c r="D9" s="2" t="s">
        <v>318</v>
      </c>
      <c r="E9" s="2" t="s">
        <v>315</v>
      </c>
    </row>
    <row r="10" spans="1:5" ht="15" customHeight="1">
      <c r="A10" s="2" t="s">
        <v>319</v>
      </c>
      <c r="B10" s="2" t="s">
        <v>266</v>
      </c>
      <c r="C10" s="2" t="s">
        <v>94</v>
      </c>
      <c r="D10" s="2" t="s">
        <v>320</v>
      </c>
      <c r="E10" s="2" t="s">
        <v>315</v>
      </c>
    </row>
    <row r="11" spans="1:5" ht="15" customHeight="1">
      <c r="A11" s="1" t="s">
        <v>321</v>
      </c>
      <c r="B11" s="1" t="s">
        <v>322</v>
      </c>
      <c r="C11" s="1" t="s">
        <v>313</v>
      </c>
      <c r="D11" s="1" t="s">
        <v>323</v>
      </c>
      <c r="E11" s="1" t="s">
        <v>315</v>
      </c>
    </row>
    <row r="12" spans="1:5" ht="15" customHeight="1">
      <c r="A12" s="1" t="s">
        <v>324</v>
      </c>
      <c r="B12" s="1" t="s">
        <v>325</v>
      </c>
      <c r="C12" s="1" t="s">
        <v>326</v>
      </c>
      <c r="D12" s="1" t="s">
        <v>293</v>
      </c>
      <c r="E12" s="1" t="s">
        <v>327</v>
      </c>
    </row>
    <row r="13" spans="1:5" ht="15" customHeight="1">
      <c r="A13" s="17" t="s">
        <v>328</v>
      </c>
      <c r="B13" s="17" t="s">
        <v>329</v>
      </c>
      <c r="C13" s="17" t="s">
        <v>330</v>
      </c>
      <c r="D13" s="17" t="s">
        <v>331</v>
      </c>
      <c r="E13" s="17" t="s">
        <v>327</v>
      </c>
    </row>
    <row r="14" spans="1:5" ht="15" customHeight="1">
      <c r="A14" s="17" t="s">
        <v>332</v>
      </c>
      <c r="B14" s="17" t="s">
        <v>333</v>
      </c>
      <c r="C14" s="17" t="s">
        <v>334</v>
      </c>
      <c r="D14" s="17" t="s">
        <v>335</v>
      </c>
      <c r="E14" s="17" t="s">
        <v>336</v>
      </c>
    </row>
    <row r="15" spans="1:5" ht="15" customHeight="1">
      <c r="A15" s="17" t="s">
        <v>337</v>
      </c>
      <c r="B15" s="17" t="s">
        <v>338</v>
      </c>
      <c r="C15" s="17" t="s">
        <v>339</v>
      </c>
      <c r="D15" s="17" t="s">
        <v>293</v>
      </c>
      <c r="E15" s="17" t="s">
        <v>336</v>
      </c>
    </row>
    <row r="18" spans="1:5" ht="15" customHeight="1">
      <c r="A18" s="47" t="s">
        <v>340</v>
      </c>
      <c r="B18" s="47"/>
      <c r="C18" s="47"/>
      <c r="D18" s="47"/>
      <c r="E18" s="47"/>
    </row>
    <row r="19" spans="1:5" ht="15" customHeight="1">
      <c r="A19" s="49" t="s">
        <v>341</v>
      </c>
      <c r="B19" s="49"/>
      <c r="C19" s="49"/>
      <c r="D19" s="49"/>
      <c r="E19" s="49"/>
    </row>
    <row r="20" spans="1:5" ht="15" customHeight="1">
      <c r="A20" s="49" t="s">
        <v>342</v>
      </c>
      <c r="B20" s="49"/>
      <c r="C20" s="49"/>
      <c r="D20" s="49"/>
      <c r="E20" s="49"/>
    </row>
    <row r="21" spans="1:5" ht="15" customHeight="1">
      <c r="A21" s="49" t="s">
        <v>343</v>
      </c>
      <c r="B21" s="49"/>
      <c r="C21" s="49"/>
      <c r="D21" s="49"/>
      <c r="E21" s="49"/>
    </row>
    <row r="22" spans="1:5" ht="15" customHeight="1">
      <c r="A22" s="49" t="s">
        <v>344</v>
      </c>
      <c r="B22" s="49"/>
      <c r="C22" s="49"/>
      <c r="D22" s="49"/>
      <c r="E22" s="49"/>
    </row>
    <row r="23" spans="1:5" ht="15" customHeight="1">
      <c r="A23" s="49" t="s">
        <v>345</v>
      </c>
      <c r="B23" s="49"/>
      <c r="C23" s="49"/>
      <c r="D23" s="49"/>
      <c r="E23" s="49"/>
    </row>
    <row r="24" spans="1:5" ht="15" customHeight="1">
      <c r="A24" s="49" t="s">
        <v>346</v>
      </c>
      <c r="B24" s="49"/>
      <c r="C24" s="49"/>
      <c r="D24" s="49"/>
      <c r="E24" s="49"/>
    </row>
    <row r="25" spans="1:5" ht="15" customHeight="1">
      <c r="A25" s="49" t="s">
        <v>347</v>
      </c>
      <c r="B25" s="49"/>
      <c r="C25" s="49"/>
      <c r="D25" s="49"/>
      <c r="E25" s="49"/>
    </row>
    <row r="26" spans="1:5" ht="15" customHeight="1">
      <c r="A26" s="49" t="s">
        <v>348</v>
      </c>
      <c r="B26" s="49"/>
      <c r="C26" s="49"/>
      <c r="D26" s="49"/>
      <c r="E26" s="49"/>
    </row>
    <row r="27" spans="1:5" ht="15" customHeight="1">
      <c r="A27" s="49" t="s">
        <v>349</v>
      </c>
      <c r="B27" s="49"/>
      <c r="C27" s="49"/>
      <c r="D27" s="49"/>
      <c r="E27" s="49"/>
    </row>
    <row r="30" spans="1:5" ht="15" customHeight="1">
      <c r="A30" s="47" t="s">
        <v>350</v>
      </c>
      <c r="B30" s="47"/>
      <c r="C30" s="47"/>
      <c r="D30" s="47"/>
      <c r="E30" s="47"/>
    </row>
    <row r="31" spans="1:5" ht="15" customHeight="1">
      <c r="A31" s="51" t="s">
        <v>351</v>
      </c>
      <c r="B31" s="51"/>
      <c r="C31" s="51"/>
      <c r="D31" s="51"/>
      <c r="E31" s="51"/>
    </row>
    <row r="32" spans="1:5" ht="15" customHeight="1">
      <c r="A32" s="51" t="s">
        <v>352</v>
      </c>
      <c r="B32" s="51"/>
      <c r="C32" s="51"/>
      <c r="D32" s="51"/>
      <c r="E32" s="51"/>
    </row>
    <row r="33" spans="1:5" ht="15" customHeight="1">
      <c r="A33" s="51" t="s">
        <v>353</v>
      </c>
      <c r="B33" s="51"/>
      <c r="C33" s="51"/>
      <c r="D33" s="51"/>
      <c r="E33" s="51"/>
    </row>
    <row r="34" spans="1:5" ht="15" customHeight="1">
      <c r="A34" s="51" t="s">
        <v>354</v>
      </c>
      <c r="B34" s="51"/>
      <c r="C34" s="51"/>
      <c r="D34" s="51"/>
      <c r="E34" s="51"/>
    </row>
    <row r="35" spans="1:5" ht="15" customHeight="1">
      <c r="A35" s="51" t="s">
        <v>355</v>
      </c>
      <c r="B35" s="51"/>
      <c r="C35" s="51"/>
      <c r="D35" s="51"/>
      <c r="E35" s="51"/>
    </row>
    <row r="36" spans="1:5" ht="15" customHeight="1">
      <c r="A36" s="51" t="s">
        <v>356</v>
      </c>
      <c r="B36" s="51"/>
      <c r="C36" s="51"/>
      <c r="D36" s="51"/>
      <c r="E36" s="51"/>
    </row>
    <row r="37" spans="1:5" ht="15" customHeight="1">
      <c r="A37" s="51" t="s">
        <v>357</v>
      </c>
      <c r="B37" s="51"/>
      <c r="C37" s="51"/>
      <c r="D37" s="51"/>
      <c r="E37" s="51"/>
    </row>
    <row r="38" spans="1:5" ht="15" customHeight="1">
      <c r="A38" s="51" t="s">
        <v>358</v>
      </c>
      <c r="B38" s="51"/>
      <c r="C38" s="51"/>
      <c r="D38" s="51"/>
      <c r="E38" s="51"/>
    </row>
  </sheetData>
  <mergeCells count="22">
    <mergeCell ref="A1:E1"/>
    <mergeCell ref="A2:E2"/>
    <mergeCell ref="A4:E4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30:E30"/>
    <mergeCell ref="A31:E31"/>
    <mergeCell ref="A37:E37"/>
    <mergeCell ref="A38:E38"/>
    <mergeCell ref="A32:E32"/>
    <mergeCell ref="A33:E33"/>
    <mergeCell ref="A34:E34"/>
    <mergeCell ref="A35:E35"/>
    <mergeCell ref="A36:E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KS Administrator</cp:lastModifiedBy>
  <cp:revision>0</cp:revision>
  <dcterms:created xsi:type="dcterms:W3CDTF">2026-05-07T18:26:53Z</dcterms:created>
  <dcterms:modified xsi:type="dcterms:W3CDTF">2026-05-12T21:59:01Z</dcterms:modified>
  <cp:category/>
  <cp:contentStatus/>
</cp:coreProperties>
</file>