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tion Plan" sheetId="2" state="visible" r:id="rId2"/>
    <sheet xmlns:r="http://schemas.openxmlformats.org/officeDocument/2006/relationships" name="Weekly Tracker" sheetId="3" state="visible" r:id="rId3"/>
    <sheet xmlns:r="http://schemas.openxmlformats.org/officeDocument/2006/relationships" name="Income" sheetId="4" state="visible" r:id="rId4"/>
    <sheet xmlns:r="http://schemas.openxmlformats.org/officeDocument/2006/relationships" name="Fixed Costs" sheetId="5" state="visible" r:id="rId5"/>
    <sheet xmlns:r="http://schemas.openxmlformats.org/officeDocument/2006/relationships" name="Variable Costs" sheetId="6" state="visible" r:id="rId6"/>
    <sheet xmlns:r="http://schemas.openxmlformats.org/officeDocument/2006/relationships" name="Top Vendors" sheetId="7" state="visible" r:id="rId7"/>
    <sheet xmlns:r="http://schemas.openxmlformats.org/officeDocument/2006/relationships" name="Path to Zero" sheetId="8" state="visible" r:id="rId8"/>
    <sheet xmlns:r="http://schemas.openxmlformats.org/officeDocument/2006/relationships" name="Targets" sheetId="9" state="visible" r:id="rId9"/>
    <sheet xmlns:r="http://schemas.openxmlformats.org/officeDocument/2006/relationships" name="Methodology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\$#,##0;&quot;($&quot;#,##0\);\-"/>
    <numFmt numFmtId="165" formatCode="0.0%;\(0.0%\);\-"/>
    <numFmt numFmtId="166" formatCode="0.0&quot; mo&quot;"/>
    <numFmt numFmtId="167" formatCode="0.0%"/>
    <numFmt numFmtId="168" formatCode="$#,##0.00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2"/>
    </font>
    <font>
      <name val="Arial"/>
      <charset val="1"/>
      <family val="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C00000"/>
      <sz val="10"/>
    </font>
    <font>
      <name val="Arial"/>
      <charset val="1"/>
      <family val="0"/>
      <color rgb="FF0000FF"/>
      <sz val="10"/>
    </font>
    <font>
      <name val="Arial"/>
      <b val="1"/>
      <color rgb="001F4E78"/>
      <sz val="16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FE699"/>
      </patternFill>
    </fill>
    <fill>
      <patternFill patternType="solid">
        <fgColor rgb="FFD9E1F2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F8CBAD"/>
        <bgColor rgb="FFFFE699"/>
      </patternFill>
    </fill>
    <fill>
      <patternFill patternType="solid">
        <fgColor rgb="FFC6EFCE"/>
        <bgColor rgb="FFDDEBF7"/>
      </patternFill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164" fontId="9" fillId="3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center" vertical="bottom" wrapText="1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13" fillId="6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9" fillId="7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9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164" fontId="9" fillId="3" borderId="0" applyAlignment="1" pivotButton="0" quotePrefix="0" xfId="0">
      <alignment horizontal="general" vertical="bottom"/>
    </xf>
    <xf numFmtId="0" fontId="9" fillId="8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center" vertical="bottom" wrapText="1"/>
    </xf>
    <xf numFmtId="164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0" fillId="3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8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center" vertical="bottom"/>
    </xf>
    <xf numFmtId="164" fontId="9" fillId="7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7" fontId="13" fillId="6" borderId="0" applyAlignment="1" pivotButton="0" quotePrefix="0" xfId="0">
      <alignment horizontal="general" vertical="bottom"/>
    </xf>
    <xf numFmtId="164" fontId="0" fillId="3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164" fontId="9" fillId="3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14" fillId="0" borderId="0" pivotButton="0" quotePrefix="0" xfId="0"/>
    <xf numFmtId="0" fontId="15" fillId="0" borderId="0" pivotButton="0" quotePrefix="0" xfId="0"/>
    <xf numFmtId="0" fontId="16" fillId="9" borderId="0" pivotButton="0" quotePrefix="0" xfId="0"/>
    <xf numFmtId="0" fontId="17" fillId="0" borderId="0" pivotButton="0" quotePrefix="0" xfId="0"/>
    <xf numFmtId="168" fontId="18" fillId="0" borderId="0" pivotButton="0" quotePrefix="0" xfId="0"/>
    <xf numFmtId="0" fontId="19" fillId="10" borderId="0" pivotButton="0" quotePrefix="0" xfId="0"/>
    <xf numFmtId="0" fontId="17" fillId="11" borderId="0" pivotButton="0" quotePrefix="0" xfId="0"/>
    <xf numFmtId="0" fontId="17" fillId="12" borderId="0" pivotButton="0" quotePrefix="0" xfId="0"/>
    <xf numFmtId="0" fontId="18" fillId="13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15" fillId="0" borderId="0" applyAlignment="1" pivotButton="0" quotePrefix="0" xfId="0">
      <alignment wrapText="1"/>
    </xf>
    <xf numFmtId="0" fontId="18" fillId="11" borderId="0" pivotButton="0" quotePrefix="0" xfId="0"/>
    <xf numFmtId="0" fontId="18" fillId="12" borderId="0" pivotButton="0" quotePrefix="0" xfId="0"/>
    <xf numFmtId="0" fontId="0" fillId="12" borderId="0" pivotButton="0" quotePrefix="0" xfId="0"/>
    <xf numFmtId="168" fontId="18" fillId="12" borderId="0" pivotButton="0" quotePrefix="0" xfId="0"/>
    <xf numFmtId="0" fontId="18" fillId="0" borderId="0" pivotButton="0" quotePrefix="0" xfId="0"/>
    <xf numFmtId="0" fontId="17" fillId="0" borderId="0" applyAlignment="1" pivotButton="0" quotePrefix="0" xfId="0">
      <alignment wrapText="1"/>
    </xf>
    <xf numFmtId="0" fontId="17" fillId="14" borderId="0" pivotButton="0" quotePrefix="0" xfId="0"/>
    <xf numFmtId="0" fontId="11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center" vertical="bottom" wrapText="1"/>
    </xf>
    <xf numFmtId="164" fontId="7" fillId="0" borderId="0" applyAlignment="1" pivotButton="0" quotePrefix="0" xfId="0">
      <alignment horizontal="general" vertical="bottom"/>
    </xf>
    <xf numFmtId="164" fontId="13" fillId="6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9" fillId="7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0" fillId="3" borderId="0" applyAlignment="1" pivotButton="0" quotePrefix="0" xfId="0">
      <alignment horizontal="general" vertical="bottom"/>
    </xf>
    <xf numFmtId="0" fontId="9" fillId="8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center" vertical="bottom" wrapText="1"/>
    </xf>
    <xf numFmtId="164" fontId="0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164" fontId="13" fillId="0" borderId="0" applyAlignment="1" pivotButton="0" quotePrefix="0" xfId="0">
      <alignment horizontal="general" vertical="bottom"/>
    </xf>
    <xf numFmtId="0" fontId="5" fillId="8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center" vertical="bottom"/>
    </xf>
    <xf numFmtId="164" fontId="9" fillId="7" borderId="0" applyAlignment="1" pivotButton="0" quotePrefix="0" xfId="0">
      <alignment horizontal="general" vertical="bottom"/>
    </xf>
    <xf numFmtId="167" fontId="13" fillId="6" borderId="0" applyAlignment="1" pivotButton="0" quotePrefix="0" xfId="0">
      <alignment horizontal="general" vertical="bottom"/>
    </xf>
    <xf numFmtId="164" fontId="0" fillId="3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8" customWidth="1" style="51" min="1" max="1"/>
    <col width="16" customWidth="1" style="51" min="2" max="2"/>
    <col width="14" customWidth="1" style="51" min="3" max="3"/>
  </cols>
  <sheetData>
    <row r="1" ht="19.5" customHeight="1" s="52">
      <c r="A1" s="53" t="inlineStr">
        <is>
          <t>PERSONAL BUDGET — BRUSNAHAN HOUSEHOLD</t>
        </is>
      </c>
    </row>
    <row r="2" ht="15" customHeight="1" s="52">
      <c r="A2" s="54" t="inlineStr">
        <is>
          <t>Source: Rocket Money export   |   Period analyzed: 2025-05-07 to 2026-05-06</t>
        </is>
      </c>
    </row>
    <row r="4" ht="15" customHeight="1" s="52">
      <c r="A4" s="55" t="inlineStr">
        <is>
          <t>MONTHLY VIEW</t>
        </is>
      </c>
    </row>
    <row r="5" ht="15" customHeight="1" s="52">
      <c r="A5" s="56" t="inlineStr">
        <is>
          <t>Average monthly income</t>
        </is>
      </c>
      <c r="B5" s="57">
        <f>Income!C2</f>
        <v/>
      </c>
    </row>
    <row r="6" ht="15" customHeight="1" s="52">
      <c r="A6" s="56" t="inlineStr">
        <is>
          <t>Fixed monthly costs</t>
        </is>
      </c>
      <c r="B6" s="57">
        <f>-'Fixed Costs'!D2</f>
        <v/>
      </c>
    </row>
    <row r="7" ht="15" customHeight="1" s="52">
      <c r="A7" s="56" t="inlineStr">
        <is>
          <t>Variable monthly spending</t>
        </is>
      </c>
      <c r="B7" s="57">
        <f>-'Variable Costs'!C2</f>
        <v/>
      </c>
    </row>
    <row r="8" ht="15" customHeight="1" s="52">
      <c r="A8" s="58" t="inlineStr">
        <is>
          <t>Surplus / (Deficit) per month</t>
        </is>
      </c>
      <c r="B8" s="59">
        <f>B5+B6+B7</f>
        <v/>
      </c>
    </row>
    <row r="10" ht="15" customHeight="1" s="52">
      <c r="A10" s="55" t="inlineStr">
        <is>
          <t>ANNUAL VIEW (last 12 months actual)</t>
        </is>
      </c>
    </row>
    <row r="11" ht="15" customHeight="1" s="52">
      <c r="A11" s="51" t="inlineStr">
        <is>
          <t>Annual income</t>
        </is>
      </c>
      <c r="B11" s="60">
        <f>B5*12</f>
        <v/>
      </c>
    </row>
    <row r="12" ht="15" customHeight="1" s="52">
      <c r="A12" s="51" t="inlineStr">
        <is>
          <t>Annual fixed costs</t>
        </is>
      </c>
      <c r="B12" s="60">
        <f>B6*12</f>
        <v/>
      </c>
    </row>
    <row r="13" ht="15" customHeight="1" s="52">
      <c r="A13" s="51" t="inlineStr">
        <is>
          <t>Annual variable spending</t>
        </is>
      </c>
      <c r="B13" s="60">
        <f>B7*12</f>
        <v/>
      </c>
    </row>
    <row r="14" ht="15" customHeight="1" s="52">
      <c r="A14" s="58" t="inlineStr">
        <is>
          <t>Annual net</t>
        </is>
      </c>
      <c r="B14" s="59">
        <f>B11+B12+B13</f>
        <v/>
      </c>
    </row>
    <row r="16" ht="15" customHeight="1" s="52">
      <c r="A16" s="55" t="inlineStr">
        <is>
          <t>KEY RATIOS</t>
        </is>
      </c>
    </row>
    <row r="17" ht="15" customHeight="1" s="52">
      <c r="A17" s="51" t="inlineStr">
        <is>
          <t>Fixed costs as % of income</t>
        </is>
      </c>
      <c r="B17" s="61">
        <f>-B6/B5</f>
        <v/>
      </c>
    </row>
    <row r="18" ht="15" customHeight="1" s="52">
      <c r="A18" s="51" t="inlineStr">
        <is>
          <t>Variable spend as % of income</t>
        </is>
      </c>
      <c r="B18" s="61">
        <f>-B7/B5</f>
        <v/>
      </c>
    </row>
    <row r="19" ht="15" customHeight="1" s="52">
      <c r="A19" s="51" t="inlineStr">
        <is>
          <t>Total expenses as % of income</t>
        </is>
      </c>
      <c r="B19" s="61">
        <f>(-B6-B7)/B5</f>
        <v/>
      </c>
    </row>
    <row r="20" ht="15" customHeight="1" s="52">
      <c r="A20" s="51" t="inlineStr">
        <is>
          <t>Savings rate (target ≥ 15%)</t>
        </is>
      </c>
      <c r="B20" s="61">
        <f>B8/B5</f>
        <v/>
      </c>
    </row>
    <row r="22" ht="15" customHeight="1" s="52">
      <c r="A22" s="55" t="inlineStr">
        <is>
          <t>FLAGS / OBSERVATIONS</t>
        </is>
      </c>
    </row>
    <row r="23" ht="15" customHeight="1" s="52">
      <c r="A23" s="62" t="inlineStr">
        <is>
          <t>1.  Real deficit ≈ ($2,616)/mo, draining liquid savings. ~5 months runway on $15k MM+CD.</t>
        </is>
      </c>
    </row>
    <row r="24" ht="15" customHeight="1" s="52">
      <c r="A24" s="62" t="inlineStr">
        <is>
          <t>2.  Already cracked Sabrina's 401k once at last low — pattern must not repeat.</t>
        </is>
      </c>
    </row>
    <row r="25" ht="15" customHeight="1" s="52">
      <c r="A25" s="62" t="inlineStr">
        <is>
          <t>3.  Income locked at $8,236/mo (KSP COO contract + TG Admin + side biz).</t>
        </is>
      </c>
    </row>
    <row r="26" ht="15" customHeight="1" s="52">
      <c r="A26" s="62" t="inlineStr">
        <is>
          <t>4.  Credit cards healthy (paid in full, no interest) — keep using Costco Visa for cashback.</t>
        </is>
      </c>
    </row>
    <row r="27" ht="15" customHeight="1" s="52">
      <c r="A27" s="62" t="inlineStr">
        <is>
          <t>5.  See 'Action Plan' tab for ranked cuts (P1 = THIS WEEK, P2 = THIS MONTH, P3 = QUARTER).</t>
        </is>
      </c>
    </row>
    <row r="28" ht="15" customHeight="1" s="52">
      <c r="A28" s="62" t="inlineStr">
        <is>
          <t>6.  See 'Weekly Tracker' tab — every Sunday review, 10 min. Non-negotiable.</t>
        </is>
      </c>
    </row>
    <row r="29" ht="15" customHeight="1" s="52">
      <c r="A29" s="62" t="inlineStr">
        <is>
          <t>7.  See 'Path to Zero' tab to model alternative scenarios.</t>
        </is>
      </c>
    </row>
  </sheetData>
  <mergeCells count="13">
    <mergeCell ref="A10:C10"/>
    <mergeCell ref="A29:E29"/>
    <mergeCell ref="A26:E26"/>
    <mergeCell ref="A24:E24"/>
    <mergeCell ref="A2:E2"/>
    <mergeCell ref="A25:E25"/>
    <mergeCell ref="A28:E28"/>
    <mergeCell ref="A1:E1"/>
    <mergeCell ref="A23:E23"/>
    <mergeCell ref="A4:C4"/>
    <mergeCell ref="A22:E22"/>
    <mergeCell ref="A16:C16"/>
    <mergeCell ref="A27:E27"/>
  </mergeCells>
  <conditionalFormatting sqref="B8">
    <cfRule type="cellIs" rank="0" priority="2" equalAverage="0" operator="lessThan" aboveAverage="0" dxfId="0" text="" percent="0" bottom="0">
      <formula>0</formula>
    </cfRule>
    <cfRule type="cellIs" rank="0" priority="3" equalAverage="0" operator="greaterThan" aboveAverage="0" dxfId="1" text="" percent="0" bottom="0">
      <formula>0</formula>
    </cfRule>
  </conditionalFormatting>
  <conditionalFormatting sqref="B14">
    <cfRule type="cellIs" rank="0" priority="4" equalAverage="0" operator="lessThan" aboveAverage="0" dxfId="0" text="" percent="0" bottom="0">
      <formula>0</formula>
    </cfRule>
    <cfRule type="cellIs" rank="0" priority="5" equalAverage="0" operator="greaterThan" aboveAverage="0" dxfId="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8" customWidth="1" style="51" min="1" max="1"/>
    <col width="14" customWidth="1" style="51" min="2" max="4"/>
    <col width="10" customWidth="1" style="51" min="5" max="5"/>
    <col width="16" customWidth="1" style="51" min="6" max="6"/>
    <col width="55" customWidth="1" style="51" min="7" max="7"/>
  </cols>
  <sheetData>
    <row r="1" ht="19.7" customHeight="1" s="52">
      <c r="A1" s="53" t="inlineStr">
        <is>
          <t>ACTION PLAN — what has to change</t>
        </is>
      </c>
    </row>
    <row r="2" ht="15" customHeight="1" s="52">
      <c r="A2" s="54" t="inlineStr">
        <is>
          <t>Income $8,236/mo. Burn rate ($2,616)/mo. Liquid runway ≈ 5 months. This is the gap-closing playbook.</t>
        </is>
      </c>
    </row>
    <row r="4" ht="15" customHeight="1" s="52">
      <c r="A4" s="81" t="inlineStr">
        <is>
          <t>REALITY CHECK</t>
        </is>
      </c>
    </row>
    <row r="5" ht="15" customHeight="1" s="52">
      <c r="A5" s="82" t="inlineStr">
        <is>
          <t>Monthly income</t>
        </is>
      </c>
      <c r="B5" s="83" t="n">
        <v>8236</v>
      </c>
      <c r="C5" s="54" t="n"/>
    </row>
    <row r="6" ht="15" customHeight="1" s="52">
      <c r="A6" s="82" t="inlineStr">
        <is>
          <t>Monthly fixed costs</t>
        </is>
      </c>
      <c r="B6" s="84" t="n">
        <v>-4545</v>
      </c>
      <c r="C6" s="54" t="inlineStr">
        <is>
          <t>Largely locked</t>
        </is>
      </c>
    </row>
    <row r="7" ht="15" customHeight="1" s="52">
      <c r="A7" s="82" t="inlineStr">
        <is>
          <t>Monthly variable spend</t>
        </is>
      </c>
      <c r="B7" s="84" t="n">
        <v>-6307</v>
      </c>
      <c r="C7" s="54" t="inlineStr">
        <is>
          <t>Where the gap lives</t>
        </is>
      </c>
    </row>
    <row r="8" ht="15" customHeight="1" s="52">
      <c r="A8" s="82" t="inlineStr">
        <is>
          <t>Monthly surplus/(deficit)</t>
        </is>
      </c>
      <c r="B8" s="84" t="n">
        <v>-2616</v>
      </c>
      <c r="C8" s="54" t="inlineStr">
        <is>
          <t>Eating into savings</t>
        </is>
      </c>
    </row>
    <row r="9" ht="15" customHeight="1" s="52">
      <c r="A9" s="82" t="inlineStr">
        <is>
          <t>Liquid savings (MM + CD)</t>
        </is>
      </c>
      <c r="B9" s="83" t="n">
        <v>15000</v>
      </c>
      <c r="C9" s="54" t="inlineStr">
        <is>
          <t>$10k MM + $5k CD</t>
        </is>
      </c>
    </row>
    <row r="10" ht="15" customHeight="1" s="52">
      <c r="A10" s="82" t="inlineStr">
        <is>
          <t>Months of runway at current burn</t>
        </is>
      </c>
      <c r="B10" s="85" t="n">
        <v>5.7</v>
      </c>
      <c r="C10" s="54" t="inlineStr">
        <is>
          <t>Real runway: ~4-5 months (don't break CD)</t>
        </is>
      </c>
    </row>
    <row r="12" ht="15" customHeight="1" s="52">
      <c r="A12" s="81" t="inlineStr">
        <is>
          <t>CUTS NEEDED — ranked by impact</t>
        </is>
      </c>
    </row>
    <row r="13" ht="15" customHeight="1" s="52">
      <c r="A13" s="86" t="inlineStr">
        <is>
          <t>Category</t>
        </is>
      </c>
      <c r="B13" s="86" t="inlineStr">
        <is>
          <t>Current $/mo</t>
        </is>
      </c>
      <c r="C13" s="86" t="inlineStr">
        <is>
          <t>Target $/mo</t>
        </is>
      </c>
      <c r="D13" s="86" t="inlineStr">
        <is>
          <t>Cut Required</t>
        </is>
      </c>
      <c r="E13" s="86" t="inlineStr">
        <is>
          <t>Cut %</t>
        </is>
      </c>
      <c r="F13" s="86" t="inlineStr">
        <is>
          <t>Priority</t>
        </is>
      </c>
      <c r="G13" s="86" t="inlineStr">
        <is>
          <t>How</t>
        </is>
      </c>
    </row>
    <row r="14" ht="22.35" customHeight="1" s="52">
      <c r="A14" s="56" t="inlineStr">
        <is>
          <t>Shopping (Amazon, bulk stores)</t>
        </is>
      </c>
      <c r="B14" s="87" t="n">
        <v>1905</v>
      </c>
      <c r="C14" s="88" t="n">
        <v>700</v>
      </c>
      <c r="D14" s="83">
        <f>B14-C14</f>
        <v/>
      </c>
      <c r="E14" s="89">
        <f>(B14-C14)/B14</f>
        <v/>
      </c>
      <c r="F14" s="90" t="inlineStr">
        <is>
          <t>P1 — TODAY</t>
        </is>
      </c>
      <c r="G14" s="91" t="inlineStr">
        <is>
          <t>Delete saved cards from Amazon/Walmart/Target. Cap $162/wk. Force 24-hr wait on every cart.</t>
        </is>
      </c>
    </row>
    <row r="15" ht="15" customHeight="1" s="52">
      <c r="A15" s="56" t="inlineStr">
        <is>
          <t>Dining &amp; Drinks</t>
        </is>
      </c>
      <c r="B15" s="87" t="n">
        <v>809</v>
      </c>
      <c r="C15" s="88" t="n">
        <v>400</v>
      </c>
      <c r="D15" s="83">
        <f>B15-C15</f>
        <v/>
      </c>
      <c r="E15" s="89">
        <f>(B15-C15)/B15</f>
        <v/>
      </c>
      <c r="F15" s="90" t="inlineStr">
        <is>
          <t>P1 — TODAY</t>
        </is>
      </c>
      <c r="G15" s="91" t="inlineStr">
        <is>
          <t>Cap dining at 5% of income. $92/wk.</t>
        </is>
      </c>
    </row>
    <row r="16" ht="22.35" customHeight="1" s="52">
      <c r="A16" s="56" t="inlineStr">
        <is>
          <t>Groceries</t>
        </is>
      </c>
      <c r="B16" s="87" t="n">
        <v>1183</v>
      </c>
      <c r="C16" s="88" t="n">
        <v>900</v>
      </c>
      <c r="D16" s="83">
        <f>B16-C16</f>
        <v/>
      </c>
      <c r="E16" s="89">
        <f>(B16-C16)/B16</f>
        <v/>
      </c>
      <c r="F16" s="58" t="inlineStr">
        <is>
          <t>P2</t>
        </is>
      </c>
      <c r="G16" s="91" t="inlineStr">
        <is>
          <t>Meal-plan weekly. Costco strategy: buy bulk staples only, not impulse adds. $208/wk.</t>
        </is>
      </c>
    </row>
    <row r="17" ht="22.35" customHeight="1" s="52">
      <c r="A17" s="56" t="inlineStr">
        <is>
          <t>Cash &amp; Checks (Venmo/Zelle out)</t>
        </is>
      </c>
      <c r="B17" s="87" t="n">
        <v>403</v>
      </c>
      <c r="C17" s="88" t="n">
        <v>150</v>
      </c>
      <c r="D17" s="83">
        <f>B17-C17</f>
        <v/>
      </c>
      <c r="E17" s="89">
        <f>(B17-C17)/B17</f>
        <v/>
      </c>
      <c r="F17" s="90" t="inlineStr">
        <is>
          <t>P1 — IDENTIFY</t>
        </is>
      </c>
      <c r="G17" s="91" t="inlineStr">
        <is>
          <t>Tag every Zelle/Venmo destination. Some may be real bills mis-flowing. $35/wk hard cap.</t>
        </is>
      </c>
    </row>
    <row r="18" ht="15" customHeight="1" s="52">
      <c r="A18" s="56" t="inlineStr">
        <is>
          <t>Entertainment &amp; Recreation</t>
        </is>
      </c>
      <c r="B18" s="87" t="n">
        <v>251</v>
      </c>
      <c r="C18" s="88" t="n">
        <v>150</v>
      </c>
      <c r="D18" s="83">
        <f>B18-C18</f>
        <v/>
      </c>
      <c r="E18" s="89">
        <f>(B18-C18)/B18</f>
        <v/>
      </c>
      <c r="F18" s="58" t="inlineStr">
        <is>
          <t>P2</t>
        </is>
      </c>
      <c r="G18" s="91" t="inlineStr">
        <is>
          <t>Free/cheap alternatives. Drop YouTube TV ($22).</t>
        </is>
      </c>
    </row>
    <row r="19" ht="15" customHeight="1" s="52">
      <c r="A19" s="56" t="inlineStr">
        <is>
          <t>Travel &amp; Vacation</t>
        </is>
      </c>
      <c r="B19" s="87" t="n">
        <v>234</v>
      </c>
      <c r="C19" s="88" t="n">
        <v>100</v>
      </c>
      <c r="D19" s="83">
        <f>B19-C19</f>
        <v/>
      </c>
      <c r="E19" s="89">
        <f>(B19-C19)/B19</f>
        <v/>
      </c>
      <c r="F19" s="82" t="inlineStr">
        <is>
          <t>P3</t>
        </is>
      </c>
      <c r="G19" s="91" t="inlineStr">
        <is>
          <t>No new VRBO/trips for 90 days.</t>
        </is>
      </c>
    </row>
    <row r="20" ht="15" customHeight="1" s="52">
      <c r="A20" s="56" t="inlineStr">
        <is>
          <t>Personal Care</t>
        </is>
      </c>
      <c r="B20" s="87" t="n">
        <v>106</v>
      </c>
      <c r="C20" s="88" t="n">
        <v>70</v>
      </c>
      <c r="D20" s="83">
        <f>B20-C20</f>
        <v/>
      </c>
      <c r="E20" s="89">
        <f>(B20-C20)/B20</f>
        <v/>
      </c>
      <c r="F20" s="82" t="inlineStr">
        <is>
          <t>P3</t>
        </is>
      </c>
      <c r="G20" s="91" t="inlineStr">
        <is>
          <t>Stretch cycle 25%.</t>
        </is>
      </c>
    </row>
    <row r="21" ht="15" customHeight="1" s="52">
      <c r="A21" s="56" t="inlineStr">
        <is>
          <t>Software &amp; Tech</t>
        </is>
      </c>
      <c r="B21" s="87" t="n">
        <v>83</v>
      </c>
      <c r="C21" s="88" t="n">
        <v>55</v>
      </c>
      <c r="D21" s="83">
        <f>B21-C21</f>
        <v/>
      </c>
      <c r="E21" s="89">
        <f>(B21-C21)/B21</f>
        <v/>
      </c>
      <c r="F21" s="82" t="inlineStr">
        <is>
          <t>P3</t>
        </is>
      </c>
      <c r="G21" s="91" t="inlineStr">
        <is>
          <t>Audit subscriptions.</t>
        </is>
      </c>
    </row>
    <row r="22" ht="15" customHeight="1" s="52">
      <c r="A22" s="56" t="inlineStr">
        <is>
          <t>T-Mobile (fixed)</t>
        </is>
      </c>
      <c r="B22" s="87" t="n">
        <v>192</v>
      </c>
      <c r="C22" s="88" t="n">
        <v>100</v>
      </c>
      <c r="D22" s="83">
        <f>B22-C22</f>
        <v/>
      </c>
      <c r="E22" s="89">
        <f>(B22-C22)/B22</f>
        <v/>
      </c>
      <c r="F22" s="58" t="inlineStr">
        <is>
          <t>P2</t>
        </is>
      </c>
      <c r="G22" s="91" t="inlineStr">
        <is>
          <t>Switch to prepaid carrier (US Mobile/Mint/Visible).</t>
        </is>
      </c>
    </row>
    <row r="23" ht="15" customHeight="1" s="52">
      <c r="A23" s="56" t="inlineStr">
        <is>
          <t>Progressive Auto (fixed)</t>
        </is>
      </c>
      <c r="B23" s="87" t="n">
        <v>216</v>
      </c>
      <c r="C23" s="88" t="n">
        <v>185</v>
      </c>
      <c r="D23" s="83">
        <f>B23-C23</f>
        <v/>
      </c>
      <c r="E23" s="89">
        <f>(B23-C23)/B23</f>
        <v/>
      </c>
      <c r="F23" s="58" t="inlineStr">
        <is>
          <t>P2</t>
        </is>
      </c>
      <c r="G23" s="91" t="inlineStr">
        <is>
          <t>Get one quote from Geico/State Farm.</t>
        </is>
      </c>
    </row>
    <row r="24" ht="15" customHeight="1" s="52">
      <c r="A24" s="56" t="inlineStr">
        <is>
          <t>Cox Internet (fixed)</t>
        </is>
      </c>
      <c r="B24" s="87" t="n">
        <v>100</v>
      </c>
      <c r="C24" s="88" t="n">
        <v>85</v>
      </c>
      <c r="D24" s="83">
        <f>B24-C24</f>
        <v/>
      </c>
      <c r="E24" s="89">
        <f>(B24-C24)/B24</f>
        <v/>
      </c>
      <c r="F24" s="82" t="inlineStr">
        <is>
          <t>P3</t>
        </is>
      </c>
      <c r="G24" s="91" t="inlineStr">
        <is>
          <t>Negotiate or switch to lower tier.</t>
        </is>
      </c>
    </row>
    <row r="25" ht="15" customHeight="1" s="52">
      <c r="A25" s="56" t="inlineStr">
        <is>
          <t>Pest Control (fixed)</t>
        </is>
      </c>
      <c r="B25" s="87" t="n">
        <v>44</v>
      </c>
      <c r="C25" s="88" t="n">
        <v>22</v>
      </c>
      <c r="D25" s="83">
        <f>B25-C25</f>
        <v/>
      </c>
      <c r="E25" s="89">
        <f>(B25-C25)/B25</f>
        <v/>
      </c>
      <c r="F25" s="82" t="inlineStr">
        <is>
          <t>P3</t>
        </is>
      </c>
      <c r="G25" s="91" t="inlineStr">
        <is>
          <t>Quarterly instead of monthly.</t>
        </is>
      </c>
    </row>
    <row r="26" ht="15" customHeight="1" s="52">
      <c r="A26" s="56" t="inlineStr">
        <is>
          <t>Subscriptions trim (Netflix/Apple)</t>
        </is>
      </c>
      <c r="B26" s="87" t="n">
        <v>63</v>
      </c>
      <c r="C26" s="88" t="n">
        <v>40</v>
      </c>
      <c r="D26" s="83">
        <f>B26-C26</f>
        <v/>
      </c>
      <c r="E26" s="89">
        <f>(B26-C26)/B26</f>
        <v/>
      </c>
      <c r="F26" s="82" t="inlineStr">
        <is>
          <t>P3</t>
        </is>
      </c>
      <c r="G26" s="91" t="inlineStr">
        <is>
          <t>Drop one streaming, consolidate Apple.</t>
        </is>
      </c>
    </row>
    <row r="27" ht="15" customHeight="1" s="52">
      <c r="A27" s="58" t="inlineStr">
        <is>
          <t>TOTAL MONTHLY SAVINGS IF ALL HIT</t>
        </is>
      </c>
      <c r="B27" s="92" t="n"/>
      <c r="C27" s="92" t="n"/>
      <c r="D27" s="59">
        <f>SUM(D14:D26)</f>
        <v/>
      </c>
      <c r="E27" s="92" t="n"/>
      <c r="F27" s="92" t="n"/>
      <c r="G27" s="92" t="n"/>
    </row>
    <row r="29" ht="15" customHeight="1" s="52">
      <c r="A29" s="81" t="inlineStr">
        <is>
          <t>INCOME SIDE — every dollar counts</t>
        </is>
      </c>
    </row>
    <row r="31" ht="15" customHeight="1" s="52">
      <c r="A31" s="56" t="inlineStr">
        <is>
          <t>Grow side businesses 25% (Photo + Nails)</t>
        </is>
      </c>
      <c r="B31" s="88" t="n">
        <v>286</v>
      </c>
      <c r="C31" s="54" t="inlineStr">
        <is>
          <t>Most accessible income lever you have</t>
        </is>
      </c>
    </row>
    <row r="32" ht="15" customHeight="1" s="52">
      <c r="A32" s="56" t="inlineStr">
        <is>
          <t>Sell unused photography gear / household items</t>
        </is>
      </c>
      <c r="B32" s="88" t="n">
        <v>100</v>
      </c>
      <c r="C32" s="54" t="inlineStr">
        <is>
          <t>One-time, not monthly — but adds to runway</t>
        </is>
      </c>
    </row>
    <row r="33" ht="15" customHeight="1" s="52">
      <c r="A33" s="56" t="inlineStr">
        <is>
          <t>Look for billable freelance hours</t>
        </is>
      </c>
      <c r="B33" s="88" t="n">
        <v>200</v>
      </c>
      <c r="C33" s="54" t="inlineStr">
        <is>
          <t>If photography skills support occasional paid gigs</t>
        </is>
      </c>
    </row>
    <row r="36" ht="15" customHeight="1" s="52">
      <c r="A36" s="93" t="inlineStr">
        <is>
          <t>PROJECTED MONTHLY SURPLUS IF P1+P2 HIT + INCOME GROWS 25%</t>
        </is>
      </c>
      <c r="B36" s="93" t="inlineStr">
        <is>
          <t>≈ +$200 to +$500/mo</t>
        </is>
      </c>
    </row>
  </sheetData>
  <mergeCells count="8">
    <mergeCell ref="A1:G1"/>
    <mergeCell ref="C32:G32"/>
    <mergeCell ref="A12:G12"/>
    <mergeCell ref="C33:G33"/>
    <mergeCell ref="A4:G4"/>
    <mergeCell ref="A2:G2"/>
    <mergeCell ref="A29:G29"/>
    <mergeCell ref="C31:G31"/>
  </mergeCells>
  <conditionalFormatting sqref="E14:E26">
    <cfRule type="cellIs" rank="0" priority="2" equalAverage="0" operator="greaterThanOrEqual" aboveAverage="0" dxfId="0" text="" percent="0" bottom="0">
      <formula>0.5</formula>
    </cfRule>
    <cfRule type="cellIs" rank="0" priority="3" equalAverage="0" operator="lessThan" aboveAverage="0" dxfId="1" text="" percent="0" bottom="0">
      <formula>0.25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51" min="1" max="1"/>
    <col width="13" customWidth="1" style="51" min="2" max="7"/>
    <col width="16" customWidth="1" style="51" min="8" max="8"/>
    <col width="14" customWidth="1" style="51" min="9" max="9"/>
  </cols>
  <sheetData>
    <row r="1" ht="19.7" customHeight="1" s="52">
      <c r="A1" s="53" t="inlineStr">
        <is>
          <t>WEEKLY CHECK-IN — every Sunday, 10 minutes</t>
        </is>
      </c>
    </row>
    <row r="2" ht="15" customHeight="1" s="52">
      <c r="A2" s="54" t="inlineStr">
        <is>
          <t>Enter your spending each week per category. Cells turn RED if over weekly cap, GREEN if under. Keep month-to-date in mind.</t>
        </is>
      </c>
    </row>
    <row r="4" ht="30" customHeight="1" s="52">
      <c r="A4" s="94" t="inlineStr">
        <is>
          <t>Category</t>
        </is>
      </c>
      <c r="B4" s="94" t="inlineStr">
        <is>
          <t>Monthly Cap</t>
        </is>
      </c>
      <c r="C4" s="94" t="inlineStr">
        <is>
          <t>Weekly Cap</t>
        </is>
      </c>
      <c r="D4" s="94" t="inlineStr">
        <is>
          <t>Week 1</t>
        </is>
      </c>
      <c r="E4" s="94" t="inlineStr">
        <is>
          <t>Week 2</t>
        </is>
      </c>
      <c r="F4" s="94" t="inlineStr">
        <is>
          <t>Week 3</t>
        </is>
      </c>
      <c r="G4" s="94" t="inlineStr">
        <is>
          <t>Week 4</t>
        </is>
      </c>
      <c r="H4" s="94" t="inlineStr">
        <is>
          <t>Month-to-Date</t>
        </is>
      </c>
      <c r="I4" s="94" t="inlineStr">
        <is>
          <t>Remaining</t>
        </is>
      </c>
    </row>
    <row r="5" ht="15" customHeight="1" s="52">
      <c r="A5" s="82" t="inlineStr">
        <is>
          <t>Shopping</t>
        </is>
      </c>
      <c r="B5" s="95" t="n">
        <v>700</v>
      </c>
      <c r="C5" s="95">
        <f>B5/4.33</f>
        <v/>
      </c>
      <c r="D5" s="88" t="n">
        <v>0</v>
      </c>
      <c r="E5" s="88" t="n">
        <v>0</v>
      </c>
      <c r="F5" s="88" t="n">
        <v>0</v>
      </c>
      <c r="G5" s="88" t="n">
        <v>0</v>
      </c>
      <c r="H5" s="83">
        <f>SUM(D5:G5)</f>
        <v/>
      </c>
      <c r="I5" s="95">
        <f>B5-H5</f>
        <v/>
      </c>
    </row>
    <row r="6" ht="15" customHeight="1" s="52">
      <c r="A6" s="82" t="inlineStr">
        <is>
          <t>Dining &amp; Drinks</t>
        </is>
      </c>
      <c r="B6" s="95" t="n">
        <v>400</v>
      </c>
      <c r="C6" s="95">
        <f>B6/4.33</f>
        <v/>
      </c>
      <c r="D6" s="88" t="n">
        <v>0</v>
      </c>
      <c r="E6" s="88" t="n">
        <v>0</v>
      </c>
      <c r="F6" s="88" t="n">
        <v>0</v>
      </c>
      <c r="G6" s="88" t="n">
        <v>0</v>
      </c>
      <c r="H6" s="83">
        <f>SUM(D6:G6)</f>
        <v/>
      </c>
      <c r="I6" s="95">
        <f>B6-H6</f>
        <v/>
      </c>
    </row>
    <row r="7" ht="15" customHeight="1" s="52">
      <c r="A7" s="82" t="inlineStr">
        <is>
          <t>Groceries</t>
        </is>
      </c>
      <c r="B7" s="95" t="n">
        <v>900</v>
      </c>
      <c r="C7" s="95">
        <f>B7/4.33</f>
        <v/>
      </c>
      <c r="D7" s="88" t="n">
        <v>0</v>
      </c>
      <c r="E7" s="88" t="n">
        <v>0</v>
      </c>
      <c r="F7" s="88" t="n">
        <v>0</v>
      </c>
      <c r="G7" s="88" t="n">
        <v>0</v>
      </c>
      <c r="H7" s="83">
        <f>SUM(D7:G7)</f>
        <v/>
      </c>
      <c r="I7" s="95">
        <f>B7-H7</f>
        <v/>
      </c>
    </row>
    <row r="8" ht="15" customHeight="1" s="52">
      <c r="A8" s="82" t="inlineStr">
        <is>
          <t>Cash/Venmo/Zelle out</t>
        </is>
      </c>
      <c r="B8" s="95" t="n">
        <v>150</v>
      </c>
      <c r="C8" s="95">
        <f>B8/4.33</f>
        <v/>
      </c>
      <c r="D8" s="88" t="n">
        <v>0</v>
      </c>
      <c r="E8" s="88" t="n">
        <v>0</v>
      </c>
      <c r="F8" s="88" t="n">
        <v>0</v>
      </c>
      <c r="G8" s="88" t="n">
        <v>0</v>
      </c>
      <c r="H8" s="83">
        <f>SUM(D8:G8)</f>
        <v/>
      </c>
      <c r="I8" s="95">
        <f>B8-H8</f>
        <v/>
      </c>
    </row>
    <row r="9" ht="15" customHeight="1" s="52">
      <c r="A9" s="82" t="inlineStr">
        <is>
          <t>Auto &amp; Transport</t>
        </is>
      </c>
      <c r="B9" s="95" t="n">
        <v>325</v>
      </c>
      <c r="C9" s="95">
        <f>B9/4.33</f>
        <v/>
      </c>
      <c r="D9" s="88" t="n">
        <v>0</v>
      </c>
      <c r="E9" s="88" t="n">
        <v>0</v>
      </c>
      <c r="F9" s="88" t="n">
        <v>0</v>
      </c>
      <c r="G9" s="88" t="n">
        <v>0</v>
      </c>
      <c r="H9" s="83">
        <f>SUM(D9:G9)</f>
        <v/>
      </c>
      <c r="I9" s="95">
        <f>B9-H9</f>
        <v/>
      </c>
    </row>
    <row r="10" ht="15" customHeight="1" s="52">
      <c r="A10" s="82" t="inlineStr">
        <is>
          <t>Entertainment</t>
        </is>
      </c>
      <c r="B10" s="95" t="n">
        <v>150</v>
      </c>
      <c r="C10" s="95">
        <f>B10/4.33</f>
        <v/>
      </c>
      <c r="D10" s="88" t="n">
        <v>0</v>
      </c>
      <c r="E10" s="88" t="n">
        <v>0</v>
      </c>
      <c r="F10" s="88" t="n">
        <v>0</v>
      </c>
      <c r="G10" s="88" t="n">
        <v>0</v>
      </c>
      <c r="H10" s="83">
        <f>SUM(D10:G10)</f>
        <v/>
      </c>
      <c r="I10" s="95">
        <f>B10-H10</f>
        <v/>
      </c>
    </row>
    <row r="11" ht="15" customHeight="1" s="52">
      <c r="A11" s="82" t="inlineStr">
        <is>
          <t>Personal Care</t>
        </is>
      </c>
      <c r="B11" s="95" t="n">
        <v>70</v>
      </c>
      <c r="C11" s="95">
        <f>B11/4.33</f>
        <v/>
      </c>
      <c r="D11" s="88" t="n">
        <v>0</v>
      </c>
      <c r="E11" s="88" t="n">
        <v>0</v>
      </c>
      <c r="F11" s="88" t="n">
        <v>0</v>
      </c>
      <c r="G11" s="88" t="n">
        <v>0</v>
      </c>
      <c r="H11" s="83">
        <f>SUM(D11:G11)</f>
        <v/>
      </c>
      <c r="I11" s="95">
        <f>B11-H11</f>
        <v/>
      </c>
    </row>
    <row r="12" ht="15" customHeight="1" s="52">
      <c r="A12" s="82" t="inlineStr">
        <is>
          <t>Software &amp; Tech</t>
        </is>
      </c>
      <c r="B12" s="95" t="n">
        <v>55</v>
      </c>
      <c r="C12" s="95">
        <f>B12/4.33</f>
        <v/>
      </c>
      <c r="D12" s="88" t="n">
        <v>0</v>
      </c>
      <c r="E12" s="88" t="n">
        <v>0</v>
      </c>
      <c r="F12" s="88" t="n">
        <v>0</v>
      </c>
      <c r="G12" s="88" t="n">
        <v>0</v>
      </c>
      <c r="H12" s="83">
        <f>SUM(D12:G12)</f>
        <v/>
      </c>
      <c r="I12" s="95">
        <f>B12-H12</f>
        <v/>
      </c>
    </row>
    <row r="13" ht="15" customHeight="1" s="52">
      <c r="A13" s="58" t="inlineStr">
        <is>
          <t>TOTAL</t>
        </is>
      </c>
      <c r="B13" s="59">
        <f>SUM(B5:B12)</f>
        <v/>
      </c>
      <c r="C13" s="59">
        <f>SUM(C5:C12)</f>
        <v/>
      </c>
      <c r="D13" s="59">
        <f>SUM(D5:D12)</f>
        <v/>
      </c>
      <c r="E13" s="59">
        <f>SUM(E5:E12)</f>
        <v/>
      </c>
      <c r="F13" s="59">
        <f>SUM(F5:F12)</f>
        <v/>
      </c>
      <c r="G13" s="59">
        <f>SUM(G5:G12)</f>
        <v/>
      </c>
      <c r="H13" s="59">
        <f>SUM(H5:H12)</f>
        <v/>
      </c>
      <c r="I13" s="59">
        <f>SUM(I5:I12)</f>
        <v/>
      </c>
    </row>
    <row r="16" ht="15" customHeight="1" s="52">
      <c r="A16" s="81" t="inlineStr">
        <is>
          <t>SUNDAY 10-MINUTE REVIEW CHECKLIST</t>
        </is>
      </c>
    </row>
    <row r="17" ht="15" customHeight="1" s="52">
      <c r="A17" s="62" t="inlineStr">
        <is>
          <t>1.  Open Rocket Money. Filter to last 7 days. Tally each category.</t>
        </is>
      </c>
    </row>
    <row r="18" ht="15" customHeight="1" s="52">
      <c r="A18" s="62" t="inlineStr">
        <is>
          <t>2.  Enter each weekly total in the appropriate Week column above. Cells turn red if you blew the weekly cap.</t>
        </is>
      </c>
    </row>
    <row r="19" ht="15" customHeight="1" s="52">
      <c r="A19" s="62" t="inlineStr">
        <is>
          <t>3.  If any category is RED — discuss with Sabrina what triggered the overrun.</t>
        </is>
      </c>
    </row>
    <row r="20" ht="15" customHeight="1" s="52">
      <c r="A20" s="62" t="inlineStr">
        <is>
          <t>4.  If 'Remaining' is negative on any category 3+ weeks in a row — the cap is wrong or the habit isn't sticking. Recalibrate.</t>
        </is>
      </c>
    </row>
    <row r="21" ht="15" customHeight="1" s="52">
      <c r="A21" s="62" t="inlineStr">
        <is>
          <t>5.  Check the runway: liquid savings should be growing each week if you're hitting targets. If not, there's a leak you haven't caught yet.</t>
        </is>
      </c>
    </row>
    <row r="22" ht="15" customHeight="1" s="52">
      <c r="A22" s="62" t="inlineStr">
        <is>
          <t>6.  At month-end, compare TOTAL row to overall monthly cap of $2,750. Reset all weekly cells for the new month.</t>
        </is>
      </c>
    </row>
    <row r="23" ht="15" customHeight="1" s="52">
      <c r="A23" s="62" t="inlineStr">
        <is>
          <t>7.  This habit is the difference between 'we tried' and 'we actually did it'. Don't skip Sundays.</t>
        </is>
      </c>
    </row>
  </sheetData>
  <mergeCells count="10">
    <mergeCell ref="A19:I19"/>
    <mergeCell ref="A2:I2"/>
    <mergeCell ref="A1:I1"/>
    <mergeCell ref="A17:I17"/>
    <mergeCell ref="A18:I18"/>
    <mergeCell ref="A23:I23"/>
    <mergeCell ref="A22:I22"/>
    <mergeCell ref="A20:I20"/>
    <mergeCell ref="A21:I21"/>
    <mergeCell ref="A16:I16"/>
  </mergeCells>
  <conditionalFormatting sqref="D5:D12">
    <cfRule type="expression" rank="0" priority="2" equalAverage="0" aboveAverage="0" dxfId="0" text="" percent="0" bottom="0">
      <formula>AND(D5&gt;$C5,D5&gt;0)</formula>
    </cfRule>
    <cfRule type="expression" rank="0" priority="3" equalAverage="0" aboveAverage="0" dxfId="1" text="" percent="0" bottom="0">
      <formula>AND(D5&lt;=$C5,D5&gt;0)</formula>
    </cfRule>
  </conditionalFormatting>
  <conditionalFormatting sqref="E5:E12">
    <cfRule type="expression" rank="0" priority="4" equalAverage="0" aboveAverage="0" dxfId="0" text="" percent="0" bottom="0">
      <formula>AND(E5&gt;$C5,E5&gt;0)</formula>
    </cfRule>
    <cfRule type="expression" rank="0" priority="5" equalAverage="0" aboveAverage="0" dxfId="1" text="" percent="0" bottom="0">
      <formula>AND(E5&lt;=$C5,E5&gt;0)</formula>
    </cfRule>
  </conditionalFormatting>
  <conditionalFormatting sqref="F5:F12">
    <cfRule type="expression" rank="0" priority="6" equalAverage="0" aboveAverage="0" dxfId="0" text="" percent="0" bottom="0">
      <formula>AND(F5&gt;$C5,F5&gt;0)</formula>
    </cfRule>
    <cfRule type="expression" rank="0" priority="7" equalAverage="0" aboveAverage="0" dxfId="1" text="" percent="0" bottom="0">
      <formula>AND(F5&lt;=$C5,F5&gt;0)</formula>
    </cfRule>
  </conditionalFormatting>
  <conditionalFormatting sqref="G5:G12">
    <cfRule type="expression" rank="0" priority="8" equalAverage="0" aboveAverage="0" dxfId="0" text="" percent="0" bottom="0">
      <formula>AND(G5&gt;$C5,G5&gt;0)</formula>
    </cfRule>
    <cfRule type="expression" rank="0" priority="9" equalAverage="0" aboveAverage="0" dxfId="1" text="" percent="0" bottom="0">
      <formula>AND(G5&lt;=$C5,G5&gt;0)</formula>
    </cfRule>
  </conditionalFormatting>
  <conditionalFormatting sqref="I5:I12">
    <cfRule type="cellIs" rank="0" priority="10" equalAverage="0" operator="lessThan" aboveAverage="0" dxfId="0" text="" percent="0" bottom="0">
      <formula>0</formula>
    </cfRule>
    <cfRule type="cellIs" rank="0" priority="11" equalAverage="0" operator="greaterThanOrEqual" aboveAverage="0" dxfId="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6" customWidth="1" style="51" min="1" max="1"/>
    <col width="14" customWidth="1" style="51" min="2" max="3"/>
    <col width="10" customWidth="1" style="51" min="4" max="4"/>
    <col width="50" customWidth="1" style="51" min="5" max="5"/>
  </cols>
  <sheetData>
    <row r="1" ht="15" customHeight="1" s="52">
      <c r="A1" s="96" t="inlineStr">
        <is>
          <t>Source</t>
        </is>
      </c>
      <c r="B1" s="96" t="inlineStr">
        <is>
          <t>Annual ($)</t>
        </is>
      </c>
      <c r="C1" s="96" t="inlineStr">
        <is>
          <t>Monthly Avg</t>
        </is>
      </c>
      <c r="D1" s="96" t="inlineStr">
        <is>
          <t># Txns</t>
        </is>
      </c>
      <c r="E1" s="96" t="inlineStr">
        <is>
          <t>Notes</t>
        </is>
      </c>
    </row>
    <row r="2" ht="15" customHeight="1" s="52">
      <c r="A2" s="58" t="inlineStr">
        <is>
          <t>TOTAL</t>
        </is>
      </c>
      <c r="B2" s="59">
        <f>SUM(B4:B12)</f>
        <v/>
      </c>
      <c r="C2" s="59">
        <f>B2/12</f>
        <v/>
      </c>
      <c r="D2" s="92">
        <f>SUM(D4:D12)</f>
        <v/>
      </c>
      <c r="E2" s="92" t="n"/>
    </row>
    <row r="4" ht="15" customHeight="1" s="52">
      <c r="A4" s="56" t="inlineStr">
        <is>
          <t>Kingdom Structural Payroll</t>
        </is>
      </c>
      <c r="B4" s="97" t="n">
        <v>39620.5</v>
      </c>
      <c r="C4" s="60">
        <f>B4/12</f>
        <v/>
      </c>
      <c r="D4" s="56" t="n">
        <v>40</v>
      </c>
      <c r="E4" s="54" t="inlineStr">
        <is>
          <t>Primary salary</t>
        </is>
      </c>
    </row>
    <row r="5" ht="15" customHeight="1" s="52">
      <c r="A5" s="56" t="inlineStr">
        <is>
          <t>TG Admin LLC Payroll</t>
        </is>
      </c>
      <c r="B5" s="97" t="n">
        <v>36882.94</v>
      </c>
      <c r="C5" s="60">
        <f>B5/12</f>
        <v/>
      </c>
      <c r="D5" s="56" t="n">
        <v>15</v>
      </c>
      <c r="E5" s="54" t="inlineStr">
        <is>
          <t>Secondary employer payroll</t>
        </is>
      </c>
    </row>
    <row r="6" ht="15" customHeight="1" s="52">
      <c r="A6" s="56" t="inlineStr">
        <is>
          <t>Side businesses (Photography + Nails)</t>
        </is>
      </c>
      <c r="B6" s="97" t="n">
        <v>13742.34</v>
      </c>
      <c r="C6" s="60">
        <f>B6/12</f>
        <v/>
      </c>
      <c r="D6" s="56" t="n">
        <v>56</v>
      </c>
      <c r="E6" s="98" t="inlineStr">
        <is>
          <t>Sabrina's nails + Michael's photography — Venmo deposits</t>
        </is>
      </c>
    </row>
    <row r="7" ht="15" customHeight="1" s="52">
      <c r="A7" s="56" t="inlineStr">
        <is>
          <t>Other income</t>
        </is>
      </c>
      <c r="B7" s="97" t="n">
        <v>2468.06</v>
      </c>
      <c r="C7" s="60">
        <f>B7/12</f>
        <v/>
      </c>
      <c r="D7" s="56" t="n">
        <v>44</v>
      </c>
      <c r="E7" s="54" t="inlineStr">
        <is>
          <t>Misc — verify which are real income</t>
        </is>
      </c>
    </row>
    <row r="8" ht="15" customHeight="1" s="52">
      <c r="A8" s="56" t="inlineStr">
        <is>
          <t>Inter-account transfers (income side)</t>
        </is>
      </c>
      <c r="B8" s="97" t="n">
        <v>2233</v>
      </c>
      <c r="C8" s="60">
        <f>B8/12</f>
        <v/>
      </c>
      <c r="D8" s="56" t="n">
        <v>5</v>
      </c>
      <c r="E8" s="54" t="inlineStr">
        <is>
          <t>Transfers from other accounts — likely NOT income</t>
        </is>
      </c>
    </row>
    <row r="9" ht="15" customHeight="1" s="52">
      <c r="A9" s="56" t="inlineStr">
        <is>
          <t>Tax refunds</t>
        </is>
      </c>
      <c r="B9" s="97" t="n">
        <v>1991.6</v>
      </c>
      <c r="C9" s="60">
        <f>B9/12</f>
        <v/>
      </c>
      <c r="D9" s="56" t="n">
        <v>1</v>
      </c>
      <c r="E9" s="54" t="inlineStr">
        <is>
          <t>One-time / annual</t>
        </is>
      </c>
    </row>
    <row r="10" ht="15" customHeight="1" s="52">
      <c r="A10" s="56" t="inlineStr">
        <is>
          <t>Amazon refunds</t>
        </is>
      </c>
      <c r="B10" s="97" t="n">
        <v>1743.81</v>
      </c>
      <c r="C10" s="60">
        <f>B10/12</f>
        <v/>
      </c>
      <c r="D10" s="56" t="n">
        <v>60</v>
      </c>
      <c r="E10" s="54" t="inlineStr">
        <is>
          <t>Returns — not real income</t>
        </is>
      </c>
    </row>
    <row r="11" ht="15" customHeight="1" s="52">
      <c r="A11" s="56" t="inlineStr">
        <is>
          <t>Cash deposits</t>
        </is>
      </c>
      <c r="B11" s="97" t="n">
        <v>139.8</v>
      </c>
      <c r="C11" s="60">
        <f>B11/12</f>
        <v/>
      </c>
      <c r="D11" s="56" t="n">
        <v>11</v>
      </c>
      <c r="E11" s="54" t="inlineStr">
        <is>
          <t>ATM deposits</t>
        </is>
      </c>
    </row>
    <row r="12" ht="15" customHeight="1" s="52">
      <c r="A12" s="56" t="inlineStr">
        <is>
          <t>Interest / Dividends</t>
        </is>
      </c>
      <c r="B12" s="97" t="n">
        <v>14.84</v>
      </c>
      <c r="C12" s="60">
        <f>B12/12</f>
        <v/>
      </c>
      <c r="D12" s="56" t="n">
        <v>14</v>
      </c>
      <c r="E12" s="54" t="inlineStr">
        <is>
          <t>Bank interest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51" min="1" max="1"/>
    <col width="26" customWidth="1" style="51" min="2" max="2"/>
    <col width="13" customWidth="1" style="51" min="3" max="5"/>
    <col width="10" customWidth="1" style="51" min="6" max="6"/>
    <col width="50" customWidth="1" style="51" min="7" max="7"/>
  </cols>
  <sheetData>
    <row r="1" ht="15" customHeight="1" s="52">
      <c r="A1" s="96" t="inlineStr">
        <is>
          <t>Group</t>
        </is>
      </c>
      <c r="B1" s="96" t="inlineStr">
        <is>
          <t>Item</t>
        </is>
      </c>
      <c r="C1" s="96" t="inlineStr">
        <is>
          <t>Annual ($)</t>
        </is>
      </c>
      <c r="D1" s="96" t="inlineStr">
        <is>
          <t>Monthly Avg</t>
        </is>
      </c>
      <c r="E1" s="96" t="inlineStr">
        <is>
          <t>Months Seen</t>
        </is>
      </c>
      <c r="F1" s="96" t="inlineStr">
        <is>
          <t># Txns</t>
        </is>
      </c>
      <c r="G1" s="96" t="inlineStr">
        <is>
          <t>Notes</t>
        </is>
      </c>
    </row>
    <row r="2" ht="15" customHeight="1" s="52">
      <c r="A2" s="58" t="inlineStr">
        <is>
          <t>TOTAL</t>
        </is>
      </c>
      <c r="B2" s="92" t="n"/>
      <c r="C2" s="59">
        <f>SUM(C4:C18)</f>
        <v/>
      </c>
      <c r="D2" s="59">
        <f>C2/12</f>
        <v/>
      </c>
      <c r="E2" s="92" t="n"/>
      <c r="F2" s="92">
        <f>SUM(F4:F18)</f>
        <v/>
      </c>
      <c r="G2" s="92" t="n"/>
    </row>
    <row r="4" ht="15" customHeight="1" s="52">
      <c r="A4" s="56" t="inlineStr">
        <is>
          <t>Debt / Loans</t>
        </is>
      </c>
      <c r="B4" s="56" t="inlineStr">
        <is>
          <t>Auto loan (JPMorgan Chase)</t>
        </is>
      </c>
      <c r="C4" s="97" t="n">
        <v>5932.96</v>
      </c>
      <c r="D4" s="60">
        <f>C4/12</f>
        <v/>
      </c>
      <c r="E4" s="56" t="n">
        <v>11</v>
      </c>
      <c r="F4" s="56" t="n">
        <v>11</v>
      </c>
      <c r="G4" s="98" t="inlineStr">
        <is>
          <t>Auto loan — financed vehicle, confirmed recurring</t>
        </is>
      </c>
    </row>
    <row r="5" ht="15" customHeight="1" s="52">
      <c r="A5" s="56" t="inlineStr">
        <is>
          <t>Home Services</t>
        </is>
      </c>
      <c r="B5" s="56" t="inlineStr">
        <is>
          <t>Pest Control</t>
        </is>
      </c>
      <c r="C5" s="97" t="n">
        <v>523</v>
      </c>
      <c r="D5" s="60">
        <f>C5/12</f>
        <v/>
      </c>
      <c r="E5" s="56" t="n">
        <v>7</v>
      </c>
      <c r="F5" s="56" t="n">
        <v>7</v>
      </c>
      <c r="G5" s="54" t="inlineStr">
        <is>
          <t>Quarterly? Verify recurrence</t>
        </is>
      </c>
    </row>
    <row r="6" ht="15" customHeight="1" s="52">
      <c r="A6" s="56" t="inlineStr">
        <is>
          <t>Housing</t>
        </is>
      </c>
      <c r="B6" s="56" t="inlineStr">
        <is>
          <t>Rent</t>
        </is>
      </c>
      <c r="C6" s="97" t="n">
        <v>33240</v>
      </c>
      <c r="D6" s="60">
        <f>C6/12</f>
        <v/>
      </c>
      <c r="E6" s="56" t="n">
        <v>12</v>
      </c>
      <c r="F6" s="56" t="n">
        <v>9</v>
      </c>
      <c r="G6" s="98" t="inlineStr">
        <is>
          <t>$2,770/mo confirmed × 12. Export only showed 9 months — annualized to true cost.</t>
        </is>
      </c>
    </row>
    <row r="7" ht="15" customHeight="1" s="52">
      <c r="A7" s="56" t="inlineStr">
        <is>
          <t>Insurance</t>
        </is>
      </c>
      <c r="B7" s="56" t="inlineStr">
        <is>
          <t>Progressive Auto</t>
        </is>
      </c>
      <c r="C7" s="97" t="n">
        <v>2594.46</v>
      </c>
      <c r="D7" s="60">
        <f>C7/12</f>
        <v/>
      </c>
      <c r="E7" s="56" t="n">
        <v>12</v>
      </c>
      <c r="F7" s="56" t="n">
        <v>12</v>
      </c>
      <c r="G7" s="54" t="n"/>
    </row>
    <row r="8" ht="15" customHeight="1" s="52">
      <c r="A8" s="56" t="inlineStr">
        <is>
          <t>Medical</t>
        </is>
      </c>
      <c r="B8" s="56" t="inlineStr">
        <is>
          <t>Affinity Medical</t>
        </is>
      </c>
      <c r="C8" s="97" t="n">
        <v>1285</v>
      </c>
      <c r="D8" s="60">
        <f>C8/12</f>
        <v/>
      </c>
      <c r="E8" s="56" t="n">
        <v>7</v>
      </c>
      <c r="F8" s="56" t="n">
        <v>9</v>
      </c>
      <c r="G8" s="98" t="inlineStr">
        <is>
          <t>Medical — confirmed (was 'Affinity (?)')</t>
        </is>
      </c>
    </row>
    <row r="9" ht="15" customHeight="1" s="52">
      <c r="A9" s="56" t="inlineStr">
        <is>
          <t>Subscriptions</t>
        </is>
      </c>
      <c r="B9" s="56" t="inlineStr">
        <is>
          <t>Pass Gallery (photo editing)</t>
        </is>
      </c>
      <c r="C9" s="97" t="n">
        <v>550.17</v>
      </c>
      <c r="D9" s="60">
        <f>C9/12</f>
        <v/>
      </c>
      <c r="E9" s="56" t="n">
        <v>12</v>
      </c>
      <c r="F9" s="56" t="n">
        <v>13</v>
      </c>
      <c r="G9" s="98" t="inlineStr">
        <is>
          <t>Photo editing software — supports photography side income</t>
        </is>
      </c>
    </row>
    <row r="10" ht="15" customHeight="1" s="52">
      <c r="A10" s="56" t="inlineStr">
        <is>
          <t>Subscriptions</t>
        </is>
      </c>
      <c r="B10" s="56" t="inlineStr">
        <is>
          <t>Netflix</t>
        </is>
      </c>
      <c r="C10" s="97" t="n">
        <v>441.6</v>
      </c>
      <c r="D10" s="60">
        <f>C10/12</f>
        <v/>
      </c>
      <c r="E10" s="56" t="n">
        <v>12</v>
      </c>
      <c r="F10" s="56" t="n">
        <v>12</v>
      </c>
      <c r="G10" s="54" t="n"/>
    </row>
    <row r="11" ht="15" customHeight="1" s="52">
      <c r="A11" s="56" t="inlineStr">
        <is>
          <t>Subscriptions</t>
        </is>
      </c>
      <c r="B11" s="56" t="inlineStr">
        <is>
          <t>Apple services</t>
        </is>
      </c>
      <c r="C11" s="97" t="n">
        <v>312.66</v>
      </c>
      <c r="D11" s="60">
        <f>C11/12</f>
        <v/>
      </c>
      <c r="E11" s="56" t="n">
        <v>12</v>
      </c>
      <c r="F11" s="56" t="n">
        <v>35</v>
      </c>
      <c r="G11" s="54" t="inlineStr">
        <is>
          <t>Multiple Apple subscriptions — review</t>
        </is>
      </c>
    </row>
    <row r="12" ht="15" customHeight="1" s="52">
      <c r="A12" s="56" t="inlineStr">
        <is>
          <t>Subscriptions</t>
        </is>
      </c>
      <c r="B12" s="56" t="inlineStr">
        <is>
          <t>Amazon Prime</t>
        </is>
      </c>
      <c r="C12" s="97" t="n">
        <v>301.68</v>
      </c>
      <c r="D12" s="60">
        <f>C12/12</f>
        <v/>
      </c>
      <c r="E12" s="56" t="n">
        <v>10</v>
      </c>
      <c r="F12" s="56" t="n">
        <v>19</v>
      </c>
      <c r="G12" s="54" t="n"/>
    </row>
    <row r="13" ht="15" customHeight="1" s="52">
      <c r="A13" s="56" t="inlineStr">
        <is>
          <t>Subscriptions</t>
        </is>
      </c>
      <c r="B13" s="56" t="inlineStr">
        <is>
          <t>Spotify</t>
        </is>
      </c>
      <c r="C13" s="97" t="n">
        <v>266.31</v>
      </c>
      <c r="D13" s="60">
        <f>C13/12</f>
        <v/>
      </c>
      <c r="E13" s="56" t="n">
        <v>12</v>
      </c>
      <c r="F13" s="56" t="n">
        <v>12</v>
      </c>
      <c r="G13" s="54" t="n"/>
    </row>
    <row r="14" ht="15" customHeight="1" s="52">
      <c r="A14" s="56" t="inlineStr">
        <is>
          <t>Utilities</t>
        </is>
      </c>
      <c r="B14" s="56" t="inlineStr">
        <is>
          <t>SRP Electric</t>
        </is>
      </c>
      <c r="C14" s="97" t="n">
        <v>2967.9</v>
      </c>
      <c r="D14" s="60">
        <f>C14/12</f>
        <v/>
      </c>
      <c r="E14" s="56" t="n">
        <v>12</v>
      </c>
      <c r="F14" s="56" t="n">
        <v>12</v>
      </c>
      <c r="G14" s="54" t="n"/>
    </row>
    <row r="15" ht="15" customHeight="1" s="52">
      <c r="A15" s="56" t="inlineStr">
        <is>
          <t>Utilities</t>
        </is>
      </c>
      <c r="B15" s="56" t="inlineStr">
        <is>
          <t>T-Mobile (cell)</t>
        </is>
      </c>
      <c r="C15" s="97" t="n">
        <v>2301.6</v>
      </c>
      <c r="D15" s="60">
        <f>C15/12</f>
        <v/>
      </c>
      <c r="E15" s="56" t="n">
        <v>12</v>
      </c>
      <c r="F15" s="56" t="n">
        <v>12</v>
      </c>
      <c r="G15" s="54" t="n"/>
    </row>
    <row r="16" ht="15" customHeight="1" s="52">
      <c r="A16" s="56" t="inlineStr">
        <is>
          <t>Utilities</t>
        </is>
      </c>
      <c r="B16" s="56" t="inlineStr">
        <is>
          <t>Gilbert Water</t>
        </is>
      </c>
      <c r="C16" s="97" t="n">
        <v>2207.49</v>
      </c>
      <c r="D16" s="60">
        <f>C16/12</f>
        <v/>
      </c>
      <c r="E16" s="56" t="n">
        <v>10</v>
      </c>
      <c r="F16" s="56" t="n">
        <v>10</v>
      </c>
      <c r="G16" s="54" t="n"/>
    </row>
    <row r="17" ht="15" customHeight="1" s="52">
      <c r="A17" s="56" t="inlineStr">
        <is>
          <t>Utilities</t>
        </is>
      </c>
      <c r="B17" s="56" t="inlineStr">
        <is>
          <t>Cox Internet</t>
        </is>
      </c>
      <c r="C17" s="97" t="n">
        <v>1200</v>
      </c>
      <c r="D17" s="60">
        <f>C17/12</f>
        <v/>
      </c>
      <c r="E17" s="56" t="n">
        <v>12</v>
      </c>
      <c r="F17" s="56" t="n">
        <v>12</v>
      </c>
      <c r="G17" s="54" t="n"/>
    </row>
    <row r="18" ht="15" customHeight="1" s="52">
      <c r="A18" s="56" t="inlineStr">
        <is>
          <t>Utilities</t>
        </is>
      </c>
      <c r="B18" s="56" t="inlineStr">
        <is>
          <t>Southwest Gas</t>
        </is>
      </c>
      <c r="C18" s="97" t="n">
        <v>420</v>
      </c>
      <c r="D18" s="87">
        <f>C18/12</f>
        <v/>
      </c>
      <c r="E18" s="56" t="n">
        <v>12</v>
      </c>
      <c r="F18" s="56" t="n">
        <v>12</v>
      </c>
      <c r="G18" s="98" t="inlineStr">
        <is>
          <t>Recurring gas bill — was hiding in Variable B&amp;U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51" min="1" max="1"/>
    <col width="16" customWidth="1" style="51" min="2" max="2"/>
    <col width="14" customWidth="1" style="51" min="3" max="3"/>
    <col width="22" customWidth="1" style="51" min="4" max="4"/>
    <col width="18" customWidth="1" style="51" min="5" max="5"/>
    <col width="60" customWidth="1" style="51" min="6" max="6"/>
  </cols>
  <sheetData>
    <row r="1" ht="15" customHeight="1" s="52">
      <c r="A1" s="96" t="inlineStr">
        <is>
          <t>Category</t>
        </is>
      </c>
      <c r="B1" s="96" t="inlineStr">
        <is>
          <t>Annual Spent ($)</t>
        </is>
      </c>
      <c r="C1" s="96" t="inlineStr">
        <is>
          <t>Monthly Avg</t>
        </is>
      </c>
      <c r="D1" s="96" t="inlineStr">
        <is>
          <t>Suggested Target ($/mo)</t>
        </is>
      </c>
      <c r="E1" s="96" t="inlineStr">
        <is>
          <t>Variance vs Target</t>
        </is>
      </c>
      <c r="F1" s="96" t="inlineStr">
        <is>
          <t>Notes</t>
        </is>
      </c>
    </row>
    <row r="2" ht="15" customHeight="1" s="52">
      <c r="A2" s="58" t="inlineStr">
        <is>
          <t>TOTAL</t>
        </is>
      </c>
      <c r="B2" s="59">
        <f>SUM(B4:B23)</f>
        <v/>
      </c>
      <c r="C2" s="59">
        <f>SUM(C4:C23)</f>
        <v/>
      </c>
      <c r="D2" s="59">
        <f>SUM(D4:D23)</f>
        <v/>
      </c>
      <c r="E2" s="59">
        <f>C2-D2</f>
        <v/>
      </c>
      <c r="F2" s="92" t="n"/>
    </row>
    <row r="4" ht="15" customHeight="1" s="52">
      <c r="A4" s="56" t="inlineStr">
        <is>
          <t>Shopping</t>
        </is>
      </c>
      <c r="B4" s="97" t="n">
        <v>22864.81</v>
      </c>
      <c r="C4" s="60">
        <f>B4/12</f>
        <v/>
      </c>
      <c r="D4" s="97" t="n">
        <v>1334</v>
      </c>
      <c r="E4" s="60">
        <f>C4-D4</f>
        <v/>
      </c>
      <c r="F4" s="54" t="n"/>
    </row>
    <row r="5" ht="15" customHeight="1" s="52">
      <c r="A5" s="56" t="inlineStr">
        <is>
          <t>Groceries</t>
        </is>
      </c>
      <c r="B5" s="97" t="n">
        <v>14192.03</v>
      </c>
      <c r="C5" s="60">
        <f>B5/12</f>
        <v/>
      </c>
      <c r="D5" s="97" t="n">
        <v>1124</v>
      </c>
      <c r="E5" s="60">
        <f>C5-D5</f>
        <v/>
      </c>
      <c r="F5" s="54" t="n"/>
    </row>
    <row r="6" ht="15" customHeight="1" s="52">
      <c r="A6" s="56" t="inlineStr">
        <is>
          <t>Dining &amp; Drinks</t>
        </is>
      </c>
      <c r="B6" s="97" t="n">
        <v>9704.76</v>
      </c>
      <c r="C6" s="60">
        <f>B6/12</f>
        <v/>
      </c>
      <c r="D6" s="97" t="n">
        <v>526</v>
      </c>
      <c r="E6" s="60">
        <f>C6-D6</f>
        <v/>
      </c>
      <c r="F6" s="54" t="n"/>
    </row>
    <row r="7" ht="15" customHeight="1" s="52">
      <c r="A7" s="56" t="inlineStr">
        <is>
          <t>Bills &amp; Utilities</t>
        </is>
      </c>
      <c r="B7" s="97" t="n">
        <v>565.63</v>
      </c>
      <c r="C7" s="60">
        <f>B7/12</f>
        <v/>
      </c>
      <c r="D7" s="97" t="n">
        <v>47</v>
      </c>
      <c r="E7" s="60">
        <f>C7-D7</f>
        <v/>
      </c>
      <c r="F7" s="98" t="inlineStr">
        <is>
          <t>CORRECTED — was contaminated with rent payments. True B&amp;U is ~$47/mo (Southwest Gas now moved to Fixed)</t>
        </is>
      </c>
    </row>
    <row r="8" ht="15" customHeight="1" s="52">
      <c r="A8" s="56" t="inlineStr">
        <is>
          <t>Savings Transfer</t>
        </is>
      </c>
      <c r="B8" s="97" t="n">
        <v>5250</v>
      </c>
      <c r="C8" s="60">
        <f>B8/12</f>
        <v/>
      </c>
      <c r="D8" s="97" t="n">
        <v>416</v>
      </c>
      <c r="E8" s="60">
        <f>C8-D8</f>
        <v/>
      </c>
      <c r="F8" s="54" t="inlineStr">
        <is>
          <t>Self-transfers to savings — keep targeted but track separately</t>
        </is>
      </c>
    </row>
    <row r="9" ht="15" customHeight="1" s="52">
      <c r="A9" s="56" t="inlineStr">
        <is>
          <t>Cash &amp; Checks</t>
        </is>
      </c>
      <c r="B9" s="97" t="n">
        <v>4834.94</v>
      </c>
      <c r="C9" s="60">
        <f>B9/12</f>
        <v/>
      </c>
      <c r="D9" s="97" t="n">
        <v>383</v>
      </c>
      <c r="E9" s="60">
        <f>C9-D9</f>
        <v/>
      </c>
      <c r="F9" s="54" t="inlineStr">
        <is>
          <t>Cash withdrawals — destination unknown, watch closely</t>
        </is>
      </c>
    </row>
    <row r="10" ht="15" customHeight="1" s="52">
      <c r="A10" s="56" t="inlineStr">
        <is>
          <t>Auto &amp; Transport</t>
        </is>
      </c>
      <c r="B10" s="97" t="n">
        <v>4301.82</v>
      </c>
      <c r="C10" s="60">
        <f>B10/12</f>
        <v/>
      </c>
      <c r="D10" s="97" t="n">
        <v>341</v>
      </c>
      <c r="E10" s="60">
        <f>C10-D10</f>
        <v/>
      </c>
      <c r="F10" s="54" t="n"/>
    </row>
    <row r="11" ht="15" customHeight="1" s="52">
      <c r="A11" s="56" t="inlineStr">
        <is>
          <t>Entertainment &amp; Rec.</t>
        </is>
      </c>
      <c r="B11" s="97" t="n">
        <v>3011.31</v>
      </c>
      <c r="C11" s="60">
        <f>B11/12</f>
        <v/>
      </c>
      <c r="D11" s="97" t="n">
        <v>188</v>
      </c>
      <c r="E11" s="60">
        <f>C11-D11</f>
        <v/>
      </c>
      <c r="F11" s="54" t="n"/>
    </row>
    <row r="12" ht="15" customHeight="1" s="52">
      <c r="A12" s="56" t="inlineStr">
        <is>
          <t>Travel &amp; Vacation</t>
        </is>
      </c>
      <c r="B12" s="97" t="n">
        <v>2810.76</v>
      </c>
      <c r="C12" s="60">
        <f>B12/12</f>
        <v/>
      </c>
      <c r="D12" s="97" t="n">
        <v>187</v>
      </c>
      <c r="E12" s="60">
        <f>C12-D12</f>
        <v/>
      </c>
      <c r="F12" s="54" t="n"/>
    </row>
    <row r="13" ht="15" customHeight="1" s="52">
      <c r="A13" s="56" t="inlineStr">
        <is>
          <t>Uncategorized</t>
        </is>
      </c>
      <c r="B13" s="97" t="n">
        <v>2579.06</v>
      </c>
      <c r="C13" s="60">
        <f>B13/12</f>
        <v/>
      </c>
      <c r="D13" s="97" t="n">
        <v>107</v>
      </c>
      <c r="E13" s="60">
        <f>C13-D13</f>
        <v/>
      </c>
      <c r="F13" s="54" t="inlineStr">
        <is>
          <t>Categorize these in Rocket Money for clearer picture</t>
        </is>
      </c>
    </row>
    <row r="14" ht="15" customHeight="1" s="52">
      <c r="A14" s="56" t="inlineStr">
        <is>
          <t>Loan Payment</t>
        </is>
      </c>
      <c r="B14" s="97" t="n">
        <v>0</v>
      </c>
      <c r="C14" s="60">
        <f>B14/12</f>
        <v/>
      </c>
      <c r="D14" s="97" t="n">
        <v>0</v>
      </c>
      <c r="E14" s="60">
        <f>C14-D14</f>
        <v/>
      </c>
      <c r="F14" s="98" t="inlineStr">
        <is>
          <t>RESOLVED — internal DFCU transfer, not a real loan payment</t>
        </is>
      </c>
    </row>
    <row r="15" ht="15" customHeight="1" s="52">
      <c r="A15" s="56" t="inlineStr">
        <is>
          <t>Medical</t>
        </is>
      </c>
      <c r="B15" s="97" t="n">
        <v>1393.2</v>
      </c>
      <c r="C15" s="60">
        <f>B15/12</f>
        <v/>
      </c>
      <c r="D15" s="97" t="n">
        <v>110</v>
      </c>
      <c r="E15" s="60">
        <f>C15-D15</f>
        <v/>
      </c>
      <c r="F15" s="54" t="n"/>
    </row>
    <row r="16" ht="15" customHeight="1" s="52">
      <c r="A16" s="56" t="inlineStr">
        <is>
          <t>Personal Care</t>
        </is>
      </c>
      <c r="B16" s="97" t="n">
        <v>1267.4</v>
      </c>
      <c r="C16" s="60">
        <f>B16/12</f>
        <v/>
      </c>
      <c r="D16" s="97" t="n">
        <v>90</v>
      </c>
      <c r="E16" s="60">
        <f>C16-D16</f>
        <v/>
      </c>
      <c r="F16" s="54" t="n"/>
    </row>
    <row r="17" ht="15" customHeight="1" s="52">
      <c r="A17" s="56" t="inlineStr">
        <is>
          <t>Health &amp; Wellness</t>
        </is>
      </c>
      <c r="B17" s="97" t="n">
        <v>1027.46</v>
      </c>
      <c r="C17" s="60">
        <f>B17/12</f>
        <v/>
      </c>
      <c r="D17" s="97" t="n">
        <v>81</v>
      </c>
      <c r="E17" s="60">
        <f>C17-D17</f>
        <v/>
      </c>
      <c r="F17" s="54" t="n"/>
    </row>
    <row r="18" ht="15" customHeight="1" s="52">
      <c r="A18" s="56" t="inlineStr">
        <is>
          <t>Software &amp; Tech</t>
        </is>
      </c>
      <c r="B18" s="97" t="n">
        <v>997.47</v>
      </c>
      <c r="C18" s="60">
        <f>B18/12</f>
        <v/>
      </c>
      <c r="D18" s="97" t="n">
        <v>66</v>
      </c>
      <c r="E18" s="60">
        <f>C18-D18</f>
        <v/>
      </c>
      <c r="F18" s="54" t="n"/>
    </row>
    <row r="19" ht="15" customHeight="1" s="52">
      <c r="A19" s="56" t="inlineStr">
        <is>
          <t>Pets</t>
        </is>
      </c>
      <c r="B19" s="97" t="n">
        <v>586.13</v>
      </c>
      <c r="C19" s="60">
        <f>B19/12</f>
        <v/>
      </c>
      <c r="D19" s="97" t="n">
        <v>46</v>
      </c>
      <c r="E19" s="60">
        <f>C19-D19</f>
        <v/>
      </c>
      <c r="F19" s="54" t="n"/>
    </row>
    <row r="20" ht="15" customHeight="1" s="52">
      <c r="A20" s="56" t="inlineStr">
        <is>
          <t>Fees</t>
        </is>
      </c>
      <c r="B20" s="97" t="n">
        <v>462.36</v>
      </c>
      <c r="C20" s="60">
        <f>B20/12</f>
        <v/>
      </c>
      <c r="D20" s="97" t="n">
        <v>37</v>
      </c>
      <c r="E20" s="60">
        <f>C20-D20</f>
        <v/>
      </c>
      <c r="F20" s="54" t="n"/>
    </row>
    <row r="21" ht="15" customHeight="1" s="52">
      <c r="A21" s="56" t="inlineStr">
        <is>
          <t>Home &amp; Garden</t>
        </is>
      </c>
      <c r="B21" s="97" t="n">
        <v>185.94</v>
      </c>
      <c r="C21" s="60">
        <f>B21/12</f>
        <v/>
      </c>
      <c r="D21" s="97" t="n">
        <v>15</v>
      </c>
      <c r="E21" s="60">
        <f>C21-D21</f>
        <v/>
      </c>
      <c r="F21" s="54" t="n"/>
    </row>
    <row r="22" ht="15" customHeight="1" s="52">
      <c r="A22" s="56" t="inlineStr">
        <is>
          <t>Charitable Donations</t>
        </is>
      </c>
      <c r="B22" s="97" t="n">
        <v>183.09</v>
      </c>
      <c r="C22" s="60">
        <f>B22/12</f>
        <v/>
      </c>
      <c r="D22" s="97" t="n">
        <v>14</v>
      </c>
      <c r="E22" s="60">
        <f>C22-D22</f>
        <v/>
      </c>
      <c r="F22" s="54" t="n"/>
    </row>
    <row r="23" ht="15" customHeight="1" s="52">
      <c r="A23" s="56" t="inlineStr">
        <is>
          <t>Education</t>
        </is>
      </c>
      <c r="B23" s="97" t="n">
        <v>31.75</v>
      </c>
      <c r="C23" s="60">
        <f>B23/12</f>
        <v/>
      </c>
      <c r="D23" s="97" t="n">
        <v>3</v>
      </c>
      <c r="E23" s="60">
        <f>C23-D23</f>
        <v/>
      </c>
      <c r="F23" s="54" t="n"/>
    </row>
  </sheetData>
  <conditionalFormatting sqref="E4:E23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1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51" min="1" max="1"/>
    <col width="50" customWidth="1" style="51" min="2" max="2"/>
    <col width="14" customWidth="1" style="51" min="3" max="4"/>
    <col width="8" customWidth="1" style="51" min="5" max="5"/>
    <col width="14" customWidth="1" style="51" min="6" max="6"/>
  </cols>
  <sheetData>
    <row r="1" ht="19.5" customHeight="1" s="52">
      <c r="A1" s="53" t="inlineStr">
        <is>
          <t>TOP VENDORS — last 12 months variable spend</t>
        </is>
      </c>
    </row>
    <row r="2" ht="15" customHeight="1" s="52">
      <c r="A2" s="54" t="inlineStr">
        <is>
          <t>Excludes Fixed Costs already on its own tab. Excludes internal transfers/CC payments.</t>
        </is>
      </c>
    </row>
    <row r="4" ht="15" customHeight="1" s="52">
      <c r="A4" s="81" t="inlineStr">
        <is>
          <t>OVERALL — Top 30</t>
        </is>
      </c>
    </row>
    <row r="5" ht="15" customHeight="1" s="52">
      <c r="A5" s="99" t="inlineStr">
        <is>
          <t>Rank</t>
        </is>
      </c>
      <c r="B5" s="99" t="inlineStr">
        <is>
          <t>Merchant</t>
        </is>
      </c>
      <c r="C5" s="99" t="inlineStr">
        <is>
          <t>12-mo Total</t>
        </is>
      </c>
      <c r="D5" s="99" t="inlineStr">
        <is>
          <t>Monthly Avg</t>
        </is>
      </c>
      <c r="E5" s="99" t="inlineStr">
        <is>
          <t>Txns</t>
        </is>
      </c>
      <c r="F5" s="99" t="inlineStr">
        <is>
          <t>Months Active</t>
        </is>
      </c>
    </row>
    <row r="6" ht="15" customHeight="1" s="52">
      <c r="A6" s="56" t="n">
        <v>1</v>
      </c>
      <c r="B6" s="56" t="inlineStr">
        <is>
          <t>FRY'S FOOD</t>
        </is>
      </c>
      <c r="C6" s="100" t="n">
        <v>14550.18</v>
      </c>
      <c r="D6" s="95">
        <f>C6/12</f>
        <v/>
      </c>
      <c r="E6" s="56" t="n">
        <v>144</v>
      </c>
      <c r="F6" s="56" t="n">
        <v>13</v>
      </c>
    </row>
    <row r="7" ht="15" customHeight="1" s="52">
      <c r="A7" s="56" t="n">
        <v>2</v>
      </c>
      <c r="B7" s="56" t="inlineStr">
        <is>
          <t>AMAZON</t>
        </is>
      </c>
      <c r="C7" s="100" t="n">
        <v>11140.5</v>
      </c>
      <c r="D7" s="95">
        <f>C7/12</f>
        <v/>
      </c>
      <c r="E7" s="56" t="n">
        <v>285</v>
      </c>
      <c r="F7" s="56" t="n">
        <v>12</v>
      </c>
    </row>
    <row r="8" ht="15" customHeight="1" s="52">
      <c r="A8" s="56" t="n">
        <v>4</v>
      </c>
      <c r="B8" s="56" t="inlineStr">
        <is>
          <t>VRBO HAN7VXGM</t>
        </is>
      </c>
      <c r="C8" s="87" t="n">
        <v>2704.01</v>
      </c>
      <c r="D8" s="95">
        <f>C8/12</f>
        <v/>
      </c>
      <c r="E8" s="56" t="n">
        <v>1</v>
      </c>
      <c r="F8" s="56" t="n">
        <v>1</v>
      </c>
    </row>
    <row r="9" ht="15" customHeight="1" s="52">
      <c r="A9" s="56" t="n">
        <v>5</v>
      </c>
      <c r="B9" s="56" t="inlineStr">
        <is>
          <t>WALMART</t>
        </is>
      </c>
      <c r="C9" s="87" t="n">
        <v>2126.39</v>
      </c>
      <c r="D9" s="95">
        <f>C9/12</f>
        <v/>
      </c>
      <c r="E9" s="56" t="n">
        <v>19</v>
      </c>
      <c r="F9" s="56" t="n">
        <v>9</v>
      </c>
    </row>
    <row r="10" ht="15" customHeight="1" s="52">
      <c r="A10" s="56" t="n">
        <v>6</v>
      </c>
      <c r="B10" s="56" t="inlineStr">
        <is>
          <t>TARGET</t>
        </is>
      </c>
      <c r="C10" s="87" t="n">
        <v>1946.07</v>
      </c>
      <c r="D10" s="95">
        <f>C10/12</f>
        <v/>
      </c>
      <c r="E10" s="56" t="n">
        <v>32</v>
      </c>
      <c r="F10" s="56" t="n">
        <v>10</v>
      </c>
    </row>
    <row r="11" ht="15" customHeight="1" s="52">
      <c r="A11" s="56" t="n">
        <v>7</v>
      </c>
      <c r="B11" s="56" t="inlineStr">
        <is>
          <t>SAM'S CLUB</t>
        </is>
      </c>
      <c r="C11" s="87" t="n">
        <v>1938.41</v>
      </c>
      <c r="D11" s="95">
        <f>C11/12</f>
        <v/>
      </c>
      <c r="E11" s="56" t="n">
        <v>12</v>
      </c>
      <c r="F11" s="56" t="n">
        <v>7</v>
      </c>
    </row>
    <row r="12" ht="15" customHeight="1" s="52">
      <c r="A12" s="56" t="n">
        <v>8</v>
      </c>
      <c r="B12" s="56" t="inlineStr">
        <is>
          <t>VENMO PAYMENT OUT</t>
        </is>
      </c>
      <c r="C12" s="87" t="n">
        <v>1274.24</v>
      </c>
      <c r="D12" s="95">
        <f>C12/12</f>
        <v/>
      </c>
      <c r="E12" s="56" t="n">
        <v>17</v>
      </c>
      <c r="F12" s="56" t="n">
        <v>8</v>
      </c>
    </row>
    <row r="13" ht="15" customHeight="1" s="52">
      <c r="A13" s="56" t="n">
        <v>9</v>
      </c>
      <c r="B13" s="56" t="inlineStr">
        <is>
          <t>CASH WITHDRAWAL</t>
        </is>
      </c>
      <c r="C13" s="87" t="n">
        <v>1200</v>
      </c>
      <c r="D13" s="95">
        <f>C13/12</f>
        <v/>
      </c>
      <c r="E13" s="56" t="n">
        <v>1</v>
      </c>
      <c r="F13" s="56" t="n">
        <v>1</v>
      </c>
    </row>
    <row r="14" ht="15" customHeight="1" s="52">
      <c r="A14" s="56" t="n">
        <v>10</v>
      </c>
      <c r="B14" s="56" t="inlineStr">
        <is>
          <t>SAMSCLUB.COM</t>
        </is>
      </c>
      <c r="C14" s="87" t="n">
        <v>1089.28</v>
      </c>
      <c r="D14" s="95">
        <f>C14/12</f>
        <v/>
      </c>
      <c r="E14" s="56" t="n">
        <v>7</v>
      </c>
      <c r="F14" s="56" t="n">
        <v>4</v>
      </c>
    </row>
    <row r="15" ht="15" customHeight="1" s="52">
      <c r="A15" s="56" t="n">
        <v>11</v>
      </c>
      <c r="B15" s="56" t="inlineStr">
        <is>
          <t>PAYPAL</t>
        </is>
      </c>
      <c r="C15" s="87" t="n">
        <v>1043.22</v>
      </c>
      <c r="D15" s="95">
        <f>C15/12</f>
        <v/>
      </c>
      <c r="E15" s="56" t="n">
        <v>20</v>
      </c>
      <c r="F15" s="56" t="n">
        <v>10</v>
      </c>
    </row>
    <row r="16" ht="15" customHeight="1" s="52">
      <c r="A16" s="56" t="n">
        <v>13</v>
      </c>
      <c r="B16" s="56" t="inlineStr">
        <is>
          <t>NUVISION AUTO GLASS LLC</t>
        </is>
      </c>
      <c r="C16" s="87" t="n">
        <v>990.4</v>
      </c>
      <c r="D16" s="95">
        <f>C16/12</f>
        <v/>
      </c>
      <c r="E16" s="56" t="n">
        <v>2</v>
      </c>
      <c r="F16" s="56" t="n">
        <v>1</v>
      </c>
    </row>
    <row r="17" ht="15" customHeight="1" s="52">
      <c r="A17" s="56" t="n">
        <v>14</v>
      </c>
      <c r="B17" s="56" t="inlineStr">
        <is>
          <t>DESERT FINANCIAL CREDIT UNION</t>
        </is>
      </c>
      <c r="C17" s="87" t="n">
        <v>880</v>
      </c>
      <c r="D17" s="95">
        <f>C17/12</f>
        <v/>
      </c>
      <c r="E17" s="56" t="n">
        <v>3</v>
      </c>
      <c r="F17" s="56" t="n">
        <v>2</v>
      </c>
    </row>
    <row r="18" ht="15" customHeight="1" s="52">
      <c r="A18" s="56" t="n">
        <v>17</v>
      </c>
      <c r="B18" s="56" t="inlineStr">
        <is>
          <t>THRIVE MARKET CA 00000000</t>
        </is>
      </c>
      <c r="C18" s="87" t="n">
        <v>672.9299999999999</v>
      </c>
      <c r="D18" s="95">
        <f>C18/12</f>
        <v/>
      </c>
      <c r="E18" s="56" t="n">
        <v>7</v>
      </c>
      <c r="F18" s="56" t="n">
        <v>6</v>
      </c>
    </row>
    <row r="19" ht="15" customHeight="1" s="52">
      <c r="A19" s="56" t="n">
        <v>18</v>
      </c>
      <c r="B19" s="56" t="inlineStr">
        <is>
          <t>CIRCLE K</t>
        </is>
      </c>
      <c r="C19" s="87" t="n">
        <v>622</v>
      </c>
      <c r="D19" s="95">
        <f>C19/12</f>
        <v/>
      </c>
      <c r="E19" s="56" t="n">
        <v>20</v>
      </c>
      <c r="F19" s="56" t="n">
        <v>10</v>
      </c>
    </row>
    <row r="20" ht="15" customHeight="1" s="52">
      <c r="A20" s="56" t="n">
        <v>19</v>
      </c>
      <c r="B20" s="56" t="inlineStr">
        <is>
          <t>COSTCO</t>
        </is>
      </c>
      <c r="C20" s="87" t="n">
        <v>614.55</v>
      </c>
      <c r="D20" s="95">
        <f>C20/12</f>
        <v/>
      </c>
      <c r="E20" s="56" t="n">
        <v>6</v>
      </c>
      <c r="F20" s="56" t="n">
        <v>4</v>
      </c>
    </row>
    <row r="21" ht="15" customHeight="1" s="52">
      <c r="A21" s="56" t="n">
        <v>20</v>
      </c>
      <c r="B21" s="56" t="inlineStr">
        <is>
          <t>APPLE</t>
        </is>
      </c>
      <c r="C21" s="87" t="n">
        <v>555.48</v>
      </c>
      <c r="D21" s="95">
        <f>C21/12</f>
        <v/>
      </c>
      <c r="E21" s="56" t="n">
        <v>30</v>
      </c>
      <c r="F21" s="56" t="n">
        <v>10</v>
      </c>
    </row>
    <row r="22" ht="15" customHeight="1" s="52">
      <c r="A22" s="56" t="n">
        <v>21</v>
      </c>
      <c r="B22" s="56" t="inlineStr">
        <is>
          <t>NELLIS AUCTION</t>
        </is>
      </c>
      <c r="C22" s="87" t="n">
        <v>546.78</v>
      </c>
      <c r="D22" s="95">
        <f>C22/12</f>
        <v/>
      </c>
      <c r="E22" s="56" t="n">
        <v>6</v>
      </c>
      <c r="F22" s="56" t="n">
        <v>3</v>
      </c>
    </row>
    <row r="23" ht="15" customHeight="1" s="52">
      <c r="A23" s="56" t="n">
        <v>23</v>
      </c>
      <c r="B23" s="56" t="inlineStr">
        <is>
          <t>MCDONALD'S</t>
        </is>
      </c>
      <c r="C23" s="87" t="n">
        <v>514.75</v>
      </c>
      <c r="D23" s="95">
        <f>C23/12</f>
        <v/>
      </c>
      <c r="E23" s="56" t="n">
        <v>21</v>
      </c>
      <c r="F23" s="56" t="n">
        <v>11</v>
      </c>
    </row>
    <row r="24" ht="15" customHeight="1" s="52">
      <c r="A24" s="56" t="n">
        <v>24</v>
      </c>
      <c r="B24" s="56" t="inlineStr">
        <is>
          <t>ZELLE PAYMENT TO JONATHAN BRUSNAHAN JPM99BJ1VE0U</t>
        </is>
      </c>
      <c r="C24" s="87" t="n">
        <v>500</v>
      </c>
      <c r="D24" s="95">
        <f>C24/12</f>
        <v/>
      </c>
      <c r="E24" s="56" t="n">
        <v>1</v>
      </c>
      <c r="F24" s="56" t="n">
        <v>1</v>
      </c>
    </row>
    <row r="25" ht="15" customHeight="1" s="52">
      <c r="A25" s="56" t="n">
        <v>26</v>
      </c>
      <c r="B25" s="56" t="inlineStr">
        <is>
          <t>DISCOUNT-TIRE-CO-AZP</t>
        </is>
      </c>
      <c r="C25" s="87" t="n">
        <v>499.34</v>
      </c>
      <c r="D25" s="95">
        <f>C25/12</f>
        <v/>
      </c>
      <c r="E25" s="56" t="n">
        <v>1</v>
      </c>
      <c r="F25" s="56" t="n">
        <v>1</v>
      </c>
    </row>
    <row r="26" ht="15" customHeight="1" s="52">
      <c r="A26" s="56" t="n">
        <v>27</v>
      </c>
      <c r="B26" s="56" t="inlineStr">
        <is>
          <t>GAMESHOWBATTLEROOMS</t>
        </is>
      </c>
      <c r="C26" s="87" t="n">
        <v>459.88</v>
      </c>
      <c r="D26" s="95">
        <f>C26/12</f>
        <v/>
      </c>
      <c r="E26" s="56" t="n">
        <v>2</v>
      </c>
      <c r="F26" s="56" t="n">
        <v>2</v>
      </c>
    </row>
    <row r="27" ht="15" customHeight="1" s="52">
      <c r="A27" s="56" t="n">
        <v>28</v>
      </c>
      <c r="B27" s="56" t="inlineStr">
        <is>
          <t>SMI IMAGING AZ 01/30</t>
        </is>
      </c>
      <c r="C27" s="87" t="n">
        <v>450</v>
      </c>
      <c r="D27" s="95">
        <f>C27/12</f>
        <v/>
      </c>
      <c r="E27" s="56" t="n">
        <v>1</v>
      </c>
      <c r="F27" s="56" t="n">
        <v>1</v>
      </c>
    </row>
    <row r="28" ht="15" customHeight="1" s="52">
      <c r="A28" s="56" t="n">
        <v>29</v>
      </c>
      <c r="B28" s="56" t="inlineStr">
        <is>
          <t>SHEIN.COM</t>
        </is>
      </c>
      <c r="C28" s="87" t="n">
        <v>445.19</v>
      </c>
      <c r="D28" s="95">
        <f>C28/12</f>
        <v/>
      </c>
      <c r="E28" s="56" t="n">
        <v>2</v>
      </c>
      <c r="F28" s="56" t="n">
        <v>2</v>
      </c>
    </row>
    <row r="29" ht="15" customHeight="1" s="52">
      <c r="A29" s="56" t="n">
        <v>30</v>
      </c>
      <c r="B29" s="56" t="inlineStr">
        <is>
          <t>BHC GILBERT</t>
        </is>
      </c>
      <c r="C29" s="87" t="n">
        <v>413</v>
      </c>
      <c r="D29" s="95">
        <f>C29/12</f>
        <v/>
      </c>
      <c r="E29" s="56" t="n">
        <v>1</v>
      </c>
      <c r="F29" s="56" t="n">
        <v>1</v>
      </c>
    </row>
    <row r="32" ht="15" customHeight="1" s="52">
      <c r="A32" s="81" t="inlineStr">
        <is>
          <t>SHOPPING — Top 12</t>
        </is>
      </c>
    </row>
    <row r="33" ht="15" customHeight="1" s="52">
      <c r="A33" s="99" t="inlineStr">
        <is>
          <t>Rank</t>
        </is>
      </c>
      <c r="B33" s="99" t="inlineStr">
        <is>
          <t>Merchant</t>
        </is>
      </c>
      <c r="C33" s="99" t="inlineStr">
        <is>
          <t>12-mo Total</t>
        </is>
      </c>
      <c r="D33" s="99" t="inlineStr">
        <is>
          <t>Monthly Avg</t>
        </is>
      </c>
      <c r="E33" s="99" t="inlineStr">
        <is>
          <t>Txns</t>
        </is>
      </c>
      <c r="F33" s="99" t="inlineStr">
        <is>
          <t>Months Active</t>
        </is>
      </c>
    </row>
    <row r="34" ht="15" customHeight="1" s="52">
      <c r="A34" s="56" t="n">
        <v>1</v>
      </c>
      <c r="B34" s="56" t="inlineStr">
        <is>
          <t>AMAZON</t>
        </is>
      </c>
      <c r="C34" s="87" t="n">
        <v>10722.84</v>
      </c>
      <c r="D34" s="95">
        <f>C34/12</f>
        <v/>
      </c>
      <c r="E34" s="56" t="n">
        <v>251</v>
      </c>
      <c r="F34" s="56" t="n">
        <v>12</v>
      </c>
    </row>
    <row r="35" ht="15" customHeight="1" s="52">
      <c r="A35" s="56" t="n">
        <v>2</v>
      </c>
      <c r="B35" s="56" t="inlineStr">
        <is>
          <t>WALMART</t>
        </is>
      </c>
      <c r="C35" s="87" t="n">
        <v>2126.39</v>
      </c>
      <c r="D35" s="95">
        <f>C35/12</f>
        <v/>
      </c>
      <c r="E35" s="56" t="n">
        <v>19</v>
      </c>
      <c r="F35" s="56" t="n">
        <v>9</v>
      </c>
    </row>
    <row r="36" ht="15" customHeight="1" s="52">
      <c r="A36" s="56" t="n">
        <v>3</v>
      </c>
      <c r="B36" s="56" t="inlineStr">
        <is>
          <t>TARGET</t>
        </is>
      </c>
      <c r="C36" s="87" t="n">
        <v>1946.07</v>
      </c>
      <c r="D36" s="95">
        <f>C36/12</f>
        <v/>
      </c>
      <c r="E36" s="56" t="n">
        <v>32</v>
      </c>
      <c r="F36" s="56" t="n">
        <v>10</v>
      </c>
    </row>
    <row r="37" ht="15" customHeight="1" s="52">
      <c r="A37" s="56" t="n">
        <v>4</v>
      </c>
      <c r="B37" s="56" t="inlineStr">
        <is>
          <t>SAM'S CLUB</t>
        </is>
      </c>
      <c r="C37" s="87" t="n">
        <v>1938.41</v>
      </c>
      <c r="D37" s="95">
        <f>C37/12</f>
        <v/>
      </c>
      <c r="E37" s="56" t="n">
        <v>12</v>
      </c>
      <c r="F37" s="56" t="n">
        <v>7</v>
      </c>
    </row>
    <row r="38" ht="15" customHeight="1" s="52">
      <c r="A38" s="56" t="n">
        <v>5</v>
      </c>
      <c r="B38" s="56" t="inlineStr">
        <is>
          <t>SAMSCLUB.COM</t>
        </is>
      </c>
      <c r="C38" s="87" t="n">
        <v>1089.28</v>
      </c>
      <c r="D38" s="95">
        <f>C38/12</f>
        <v/>
      </c>
      <c r="E38" s="56" t="n">
        <v>7</v>
      </c>
      <c r="F38" s="56" t="n">
        <v>4</v>
      </c>
    </row>
    <row r="39" ht="15" customHeight="1" s="52">
      <c r="A39" s="56" t="n">
        <v>6</v>
      </c>
      <c r="B39" s="56" t="inlineStr">
        <is>
          <t>COSTCO</t>
        </is>
      </c>
      <c r="C39" s="87" t="n">
        <v>614.55</v>
      </c>
      <c r="D39" s="95">
        <f>C39/12</f>
        <v/>
      </c>
      <c r="E39" s="56" t="n">
        <v>6</v>
      </c>
      <c r="F39" s="56" t="n">
        <v>4</v>
      </c>
    </row>
    <row r="40" ht="15" customHeight="1" s="52">
      <c r="A40" s="56" t="n">
        <v>7</v>
      </c>
      <c r="B40" s="56" t="inlineStr">
        <is>
          <t>SHEIN.COM</t>
        </is>
      </c>
      <c r="C40" s="87" t="n">
        <v>445.19</v>
      </c>
      <c r="D40" s="95">
        <f>C40/12</f>
        <v/>
      </c>
      <c r="E40" s="56" t="n">
        <v>2</v>
      </c>
      <c r="F40" s="56" t="n">
        <v>2</v>
      </c>
    </row>
    <row r="41" ht="15" customHeight="1" s="52">
      <c r="A41" s="56" t="n">
        <v>8</v>
      </c>
      <c r="B41" s="56" t="inlineStr">
        <is>
          <t>CIRCLE K</t>
        </is>
      </c>
      <c r="C41" s="87" t="n">
        <v>377.86</v>
      </c>
      <c r="D41" s="95">
        <f>C41/12</f>
        <v/>
      </c>
      <c r="E41" s="56" t="n">
        <v>11</v>
      </c>
      <c r="F41" s="56" t="n">
        <v>6</v>
      </c>
    </row>
    <row r="42" ht="15" customHeight="1" s="52">
      <c r="A42" s="56" t="n">
        <v>9</v>
      </c>
      <c r="B42" s="56" t="inlineStr">
        <is>
          <t>NELLIS AUCTION</t>
        </is>
      </c>
      <c r="C42" s="87" t="n">
        <v>363.69</v>
      </c>
      <c r="D42" s="95">
        <f>C42/12</f>
        <v/>
      </c>
      <c r="E42" s="56" t="n">
        <v>4</v>
      </c>
      <c r="F42" s="56" t="n">
        <v>3</v>
      </c>
    </row>
    <row r="43" ht="15" customHeight="1" s="52">
      <c r="A43" s="56" t="n">
        <v>10</v>
      </c>
      <c r="B43" s="56" t="inlineStr">
        <is>
          <t>SAMSCLUB.COM AR 62790089</t>
        </is>
      </c>
      <c r="C43" s="87" t="n">
        <v>354.3</v>
      </c>
      <c r="D43" s="95">
        <f>C43/12</f>
        <v/>
      </c>
      <c r="E43" s="56" t="n">
        <v>3</v>
      </c>
      <c r="F43" s="56" t="n">
        <v>3</v>
      </c>
    </row>
    <row r="44" ht="15" customHeight="1" s="52">
      <c r="A44" s="56" t="n">
        <v>11</v>
      </c>
      <c r="B44" s="56" t="inlineStr">
        <is>
          <t>AZAZIE INC</t>
        </is>
      </c>
      <c r="C44" s="87" t="n">
        <v>278.58</v>
      </c>
      <c r="D44" s="95">
        <f>C44/12</f>
        <v/>
      </c>
      <c r="E44" s="56" t="n">
        <v>1</v>
      </c>
      <c r="F44" s="56" t="n">
        <v>1</v>
      </c>
    </row>
    <row r="45" ht="15" customHeight="1" s="52">
      <c r="A45" s="56" t="n">
        <v>12</v>
      </c>
      <c r="B45" s="56" t="inlineStr">
        <is>
          <t>OLD NAVY</t>
        </is>
      </c>
      <c r="C45" s="87" t="n">
        <v>237.6</v>
      </c>
      <c r="D45" s="95">
        <f>C45/12</f>
        <v/>
      </c>
      <c r="E45" s="56" t="n">
        <v>1</v>
      </c>
      <c r="F45" s="56" t="n">
        <v>1</v>
      </c>
    </row>
    <row r="47" ht="15" customHeight="1" s="52">
      <c r="A47" s="81" t="inlineStr">
        <is>
          <t>DINING &amp; DRINKS — Top 12</t>
        </is>
      </c>
    </row>
    <row r="48" ht="15" customHeight="1" s="52">
      <c r="A48" s="99" t="inlineStr">
        <is>
          <t>Rank</t>
        </is>
      </c>
      <c r="B48" s="99" t="inlineStr">
        <is>
          <t>Merchant</t>
        </is>
      </c>
      <c r="C48" s="99" t="inlineStr">
        <is>
          <t>12-mo Total</t>
        </is>
      </c>
      <c r="D48" s="99" t="inlineStr">
        <is>
          <t>Monthly Avg</t>
        </is>
      </c>
      <c r="E48" s="99" t="inlineStr">
        <is>
          <t>Txns</t>
        </is>
      </c>
      <c r="F48" s="99" t="inlineStr">
        <is>
          <t>Months Active</t>
        </is>
      </c>
    </row>
    <row r="49" ht="15" customHeight="1" s="52">
      <c r="A49" s="56" t="n">
        <v>1</v>
      </c>
      <c r="B49" s="56" t="inlineStr">
        <is>
          <t>FRY'S FOOD</t>
        </is>
      </c>
      <c r="C49" s="87" t="n">
        <v>1882.79</v>
      </c>
      <c r="D49" s="95">
        <f>C49/12</f>
        <v/>
      </c>
      <c r="E49" s="56" t="n">
        <v>16</v>
      </c>
      <c r="F49" s="56" t="n">
        <v>3</v>
      </c>
    </row>
    <row r="50" ht="15" customHeight="1" s="52">
      <c r="A50" s="56" t="n">
        <v>2</v>
      </c>
      <c r="B50" s="56" t="inlineStr">
        <is>
          <t>MCDONALD'S</t>
        </is>
      </c>
      <c r="C50" s="87" t="n">
        <v>422.7</v>
      </c>
      <c r="D50" s="95">
        <f>C50/12</f>
        <v/>
      </c>
      <c r="E50" s="56" t="n">
        <v>20</v>
      </c>
      <c r="F50" s="56" t="n">
        <v>11</v>
      </c>
    </row>
    <row r="51" ht="15" customHeight="1" s="52">
      <c r="A51" s="56" t="n">
        <v>3</v>
      </c>
      <c r="B51" s="56" t="inlineStr">
        <is>
          <t>DUNKIN'</t>
        </is>
      </c>
      <c r="C51" s="87" t="n">
        <v>327.06</v>
      </c>
      <c r="D51" s="95">
        <f>C51/12</f>
        <v/>
      </c>
      <c r="E51" s="56" t="n">
        <v>27</v>
      </c>
      <c r="F51" s="56" t="n">
        <v>12</v>
      </c>
    </row>
    <row r="52" ht="15" customHeight="1" s="52">
      <c r="A52" s="56" t="n">
        <v>4</v>
      </c>
      <c r="B52" s="56" t="inlineStr">
        <is>
          <t>TST*PICAZZOS HEALTHY IT</t>
        </is>
      </c>
      <c r="C52" s="87" t="n">
        <v>286.98</v>
      </c>
      <c r="D52" s="95">
        <f>C52/12</f>
        <v/>
      </c>
      <c r="E52" s="56" t="n">
        <v>1</v>
      </c>
      <c r="F52" s="56" t="n">
        <v>1</v>
      </c>
    </row>
    <row r="53" ht="15" customHeight="1" s="52">
      <c r="A53" s="56" t="n">
        <v>5</v>
      </c>
      <c r="B53" s="56" t="inlineStr">
        <is>
          <t>CHICK-FIL-A</t>
        </is>
      </c>
      <c r="C53" s="87" t="n">
        <v>273.83</v>
      </c>
      <c r="D53" s="95">
        <f>C53/12</f>
        <v/>
      </c>
      <c r="E53" s="56" t="n">
        <v>7</v>
      </c>
      <c r="F53" s="56" t="n">
        <v>6</v>
      </c>
    </row>
    <row r="54" ht="15" customHeight="1" s="52">
      <c r="A54" s="56" t="n">
        <v>6</v>
      </c>
      <c r="B54" s="56" t="inlineStr">
        <is>
          <t>DOMINO'S</t>
        </is>
      </c>
      <c r="C54" s="87" t="n">
        <v>242.8</v>
      </c>
      <c r="D54" s="95">
        <f>C54/12</f>
        <v/>
      </c>
      <c r="E54" s="56" t="n">
        <v>7</v>
      </c>
      <c r="F54" s="56" t="n">
        <v>5</v>
      </c>
    </row>
    <row r="55" ht="15" customHeight="1" s="52">
      <c r="A55" s="56" t="n">
        <v>7</v>
      </c>
      <c r="B55" s="56" t="inlineStr">
        <is>
          <t>CHIPOTLE MEXICAN GRILL</t>
        </is>
      </c>
      <c r="C55" s="87" t="n">
        <v>197</v>
      </c>
      <c r="D55" s="95">
        <f>C55/12</f>
        <v/>
      </c>
      <c r="E55" s="56" t="n">
        <v>9</v>
      </c>
      <c r="F55" s="56" t="n">
        <v>7</v>
      </c>
    </row>
    <row r="56" ht="15" customHeight="1" s="52">
      <c r="A56" s="56" t="n">
        <v>8</v>
      </c>
      <c r="B56" s="56" t="inlineStr">
        <is>
          <t>TACO BELL</t>
        </is>
      </c>
      <c r="C56" s="87" t="n">
        <v>182.2</v>
      </c>
      <c r="D56" s="95">
        <f>C56/12</f>
        <v/>
      </c>
      <c r="E56" s="56" t="n">
        <v>13</v>
      </c>
      <c r="F56" s="56" t="n">
        <v>8</v>
      </c>
    </row>
    <row r="57" ht="15" customHeight="1" s="52">
      <c r="A57" s="56" t="n">
        <v>9</v>
      </c>
      <c r="B57" s="56" t="inlineStr">
        <is>
          <t>TST* POSTINO - EAST</t>
        </is>
      </c>
      <c r="C57" s="87" t="n">
        <v>179.19</v>
      </c>
      <c r="D57" s="95">
        <f>C57/12</f>
        <v/>
      </c>
      <c r="E57" s="56" t="n">
        <v>4</v>
      </c>
      <c r="F57" s="56" t="n">
        <v>4</v>
      </c>
    </row>
    <row r="58" ht="15" customHeight="1" s="52">
      <c r="A58" s="56" t="n">
        <v>10</v>
      </c>
      <c r="B58" s="56" t="inlineStr">
        <is>
          <t>TST*CALL HER MARTINA</t>
        </is>
      </c>
      <c r="C58" s="87" t="n">
        <v>161.28</v>
      </c>
      <c r="D58" s="95">
        <f>C58/12</f>
        <v/>
      </c>
      <c r="E58" s="56" t="n">
        <v>1</v>
      </c>
      <c r="F58" s="56" t="n">
        <v>1</v>
      </c>
    </row>
    <row r="59" ht="15" customHeight="1" s="52">
      <c r="A59" s="56" t="n">
        <v>11</v>
      </c>
      <c r="B59" s="56" t="inlineStr">
        <is>
          <t>UBER * EATS PE SAN FRANCISCO CA 00000000</t>
        </is>
      </c>
      <c r="C59" s="87" t="n">
        <v>158.62</v>
      </c>
      <c r="D59" s="95">
        <f>C59/12</f>
        <v/>
      </c>
      <c r="E59" s="56" t="n">
        <v>2</v>
      </c>
      <c r="F59" s="56" t="n">
        <v>2</v>
      </c>
    </row>
    <row r="60" ht="15" customHeight="1" s="52">
      <c r="A60" s="56" t="n">
        <v>12</v>
      </c>
      <c r="B60" s="56" t="inlineStr">
        <is>
          <t>TST*NEW - THE WHINING PI</t>
        </is>
      </c>
      <c r="C60" s="87" t="n">
        <v>146.24</v>
      </c>
      <c r="D60" s="95">
        <f>C60/12</f>
        <v/>
      </c>
      <c r="E60" s="56" t="n">
        <v>2</v>
      </c>
      <c r="F60" s="56" t="n">
        <v>2</v>
      </c>
    </row>
    <row r="62" ht="15" customHeight="1" s="52">
      <c r="A62" s="81" t="inlineStr">
        <is>
          <t>GROCERIES — Top 12</t>
        </is>
      </c>
    </row>
    <row r="63" ht="15" customHeight="1" s="52">
      <c r="A63" s="99" t="inlineStr">
        <is>
          <t>Rank</t>
        </is>
      </c>
      <c r="B63" s="99" t="inlineStr">
        <is>
          <t>Merchant</t>
        </is>
      </c>
      <c r="C63" s="99" t="inlineStr">
        <is>
          <t>12-mo Total</t>
        </is>
      </c>
      <c r="D63" s="99" t="inlineStr">
        <is>
          <t>Monthly Avg</t>
        </is>
      </c>
      <c r="E63" s="99" t="inlineStr">
        <is>
          <t>Txns</t>
        </is>
      </c>
      <c r="F63" s="99" t="inlineStr">
        <is>
          <t>Months Active</t>
        </is>
      </c>
    </row>
    <row r="64" ht="15" customHeight="1" s="52">
      <c r="A64" s="56" t="n">
        <v>1</v>
      </c>
      <c r="B64" s="56" t="inlineStr">
        <is>
          <t>FRY'S FOOD</t>
        </is>
      </c>
      <c r="C64" s="87" t="n">
        <v>12216.9</v>
      </c>
      <c r="D64" s="95">
        <f>C64/12</f>
        <v/>
      </c>
      <c r="E64" s="56" t="n">
        <v>118</v>
      </c>
      <c r="F64" s="56" t="n">
        <v>13</v>
      </c>
    </row>
    <row r="65" ht="15" customHeight="1" s="52">
      <c r="A65" s="56" t="n">
        <v>2</v>
      </c>
      <c r="B65" s="56" t="inlineStr">
        <is>
          <t>THRIVE MARKET CA 00000000</t>
        </is>
      </c>
      <c r="C65" s="87" t="n">
        <v>672.9299999999999</v>
      </c>
      <c r="D65" s="95">
        <f>C65/12</f>
        <v/>
      </c>
      <c r="E65" s="56" t="n">
        <v>7</v>
      </c>
      <c r="F65" s="56" t="n">
        <v>6</v>
      </c>
    </row>
    <row r="66" ht="15" customHeight="1" s="52">
      <c r="A66" s="56" t="n">
        <v>3</v>
      </c>
      <c r="B66" s="56" t="inlineStr">
        <is>
          <t>TRADER JOE'S</t>
        </is>
      </c>
      <c r="C66" s="87" t="n">
        <v>382.68</v>
      </c>
      <c r="D66" s="95">
        <f>C66/12</f>
        <v/>
      </c>
      <c r="E66" s="56" t="n">
        <v>7</v>
      </c>
      <c r="F66" s="56" t="n">
        <v>6</v>
      </c>
    </row>
    <row r="67" ht="15" customHeight="1" s="52">
      <c r="A67" s="56" t="n">
        <v>4</v>
      </c>
      <c r="B67" s="56" t="inlineStr">
        <is>
          <t>THRIVE MARKET</t>
        </is>
      </c>
      <c r="C67" s="87" t="n">
        <v>331.24</v>
      </c>
      <c r="D67" s="95">
        <f>C67/12</f>
        <v/>
      </c>
      <c r="E67" s="56" t="n">
        <v>5</v>
      </c>
      <c r="F67" s="56" t="n">
        <v>5</v>
      </c>
    </row>
    <row r="68" ht="15" customHeight="1" s="52">
      <c r="A68" s="56" t="n">
        <v>5</v>
      </c>
      <c r="B68" s="56" t="inlineStr">
        <is>
          <t>COOPER'S HAWK GILBE GILBERT AZ 00002997</t>
        </is>
      </c>
      <c r="C68" s="87" t="n">
        <v>179.57</v>
      </c>
      <c r="D68" s="95">
        <f>C68/12</f>
        <v/>
      </c>
      <c r="E68" s="56" t="n">
        <v>1</v>
      </c>
      <c r="F68" s="56" t="n">
        <v>1</v>
      </c>
    </row>
    <row r="69" ht="15" customHeight="1" s="52">
      <c r="A69" s="56" t="n">
        <v>6</v>
      </c>
      <c r="B69" s="56" t="inlineStr">
        <is>
          <t>ALDI</t>
        </is>
      </c>
      <c r="C69" s="87" t="n">
        <v>101.01</v>
      </c>
      <c r="D69" s="95">
        <f>C69/12</f>
        <v/>
      </c>
      <c r="E69" s="56" t="n">
        <v>1</v>
      </c>
      <c r="F69" s="56" t="n">
        <v>1</v>
      </c>
    </row>
    <row r="70" ht="15" customHeight="1" s="52">
      <c r="A70" s="56" t="n">
        <v>7</v>
      </c>
      <c r="B70" s="56" t="inlineStr">
        <is>
          <t>SAFEWAY</t>
        </is>
      </c>
      <c r="C70" s="87" t="n">
        <v>100.88</v>
      </c>
      <c r="D70" s="95">
        <f>C70/12</f>
        <v/>
      </c>
      <c r="E70" s="56" t="n">
        <v>3</v>
      </c>
      <c r="F70" s="56" t="n">
        <v>2</v>
      </c>
    </row>
    <row r="71" ht="15" customHeight="1" s="52">
      <c r="A71" s="56" t="n">
        <v>8</v>
      </c>
      <c r="B71" s="56" t="inlineStr">
        <is>
          <t>THRIVE MARKET CA ****0000</t>
        </is>
      </c>
      <c r="C71" s="87" t="n">
        <v>83.01000000000001</v>
      </c>
      <c r="D71" s="95">
        <f>C71/12</f>
        <v/>
      </c>
      <c r="E71" s="56" t="n">
        <v>1</v>
      </c>
      <c r="F71" s="56" t="n">
        <v>1</v>
      </c>
    </row>
    <row r="72" ht="15" customHeight="1" s="52">
      <c r="A72" s="56" t="n">
        <v>9</v>
      </c>
      <c r="B72" s="56" t="inlineStr">
        <is>
          <t>PHTOSHP LIGHTRM SAN JOSE CA XX0000</t>
        </is>
      </c>
      <c r="C72" s="87" t="n">
        <v>48.69</v>
      </c>
      <c r="D72" s="95">
        <f>C72/12</f>
        <v/>
      </c>
      <c r="E72" s="56" t="n">
        <v>3</v>
      </c>
      <c r="F72" s="56" t="n">
        <v>3</v>
      </c>
    </row>
    <row r="73" ht="15" customHeight="1" s="52">
      <c r="A73" s="56" t="n">
        <v>10</v>
      </c>
      <c r="B73" s="56" t="inlineStr">
        <is>
          <t>K-VA-T FOOD CITY</t>
        </is>
      </c>
      <c r="C73" s="87" t="n">
        <v>20.32</v>
      </c>
      <c r="D73" s="95">
        <f>C73/12</f>
        <v/>
      </c>
      <c r="E73" s="56" t="n">
        <v>1</v>
      </c>
      <c r="F73" s="56" t="n">
        <v>1</v>
      </c>
    </row>
    <row r="74" ht="15" customHeight="1" s="52">
      <c r="A74" s="56" t="n">
        <v>11</v>
      </c>
      <c r="B74" s="56" t="inlineStr">
        <is>
          <t>ALBERTSONS</t>
        </is>
      </c>
      <c r="C74" s="87" t="n">
        <v>19.85</v>
      </c>
      <c r="D74" s="95">
        <f>C74/12</f>
        <v/>
      </c>
      <c r="E74" s="56" t="n">
        <v>2</v>
      </c>
      <c r="F74" s="56" t="n">
        <v>2</v>
      </c>
    </row>
    <row r="75" ht="15" customHeight="1" s="52">
      <c r="A75" s="56" t="n">
        <v>12</v>
      </c>
      <c r="B75" s="56" t="inlineStr">
        <is>
          <t>CHEFSTORE 8105</t>
        </is>
      </c>
      <c r="C75" s="87" t="n">
        <v>18.72</v>
      </c>
      <c r="D75" s="95">
        <f>C75/12</f>
        <v/>
      </c>
      <c r="E75" s="56" t="n">
        <v>1</v>
      </c>
      <c r="F75" s="56" t="n">
        <v>1</v>
      </c>
    </row>
    <row r="77" ht="15" customHeight="1" s="52">
      <c r="A77" s="81" t="inlineStr">
        <is>
          <t>AUTO &amp; TRANSPORT — Top 12</t>
        </is>
      </c>
    </row>
    <row r="78" ht="15" customHeight="1" s="52">
      <c r="A78" s="99" t="inlineStr">
        <is>
          <t>Rank</t>
        </is>
      </c>
      <c r="B78" s="99" t="inlineStr">
        <is>
          <t>Merchant</t>
        </is>
      </c>
      <c r="C78" s="99" t="inlineStr">
        <is>
          <t>12-mo Total</t>
        </is>
      </c>
      <c r="D78" s="99" t="inlineStr">
        <is>
          <t>Monthly Avg</t>
        </is>
      </c>
      <c r="E78" s="99" t="inlineStr">
        <is>
          <t>Txns</t>
        </is>
      </c>
      <c r="F78" s="99" t="inlineStr">
        <is>
          <t>Months Active</t>
        </is>
      </c>
    </row>
    <row r="79" ht="15" customHeight="1" s="52">
      <c r="A79" s="56" t="n">
        <v>1</v>
      </c>
      <c r="B79" s="56" t="inlineStr">
        <is>
          <t>NUVISION AUTO GLASS LLC</t>
        </is>
      </c>
      <c r="C79" s="87" t="n">
        <v>990.4</v>
      </c>
      <c r="D79" s="95">
        <f>C79/12</f>
        <v/>
      </c>
      <c r="E79" s="56" t="n">
        <v>2</v>
      </c>
      <c r="F79" s="56" t="n">
        <v>1</v>
      </c>
    </row>
    <row r="80" ht="15" customHeight="1" s="52">
      <c r="A80" s="56" t="n">
        <v>2</v>
      </c>
      <c r="B80" s="56" t="inlineStr">
        <is>
          <t>DISCOUNT-TIRE-CO-AZP</t>
        </is>
      </c>
      <c r="C80" s="87" t="n">
        <v>499.34</v>
      </c>
      <c r="D80" s="95">
        <f>C80/12</f>
        <v/>
      </c>
      <c r="E80" s="56" t="n">
        <v>1</v>
      </c>
      <c r="F80" s="56" t="n">
        <v>1</v>
      </c>
    </row>
    <row r="81" ht="15" customHeight="1" s="52">
      <c r="A81" s="56" t="n">
        <v>3</v>
      </c>
      <c r="B81" s="56" t="inlineStr">
        <is>
          <t>FRY'S FOOD</t>
        </is>
      </c>
      <c r="C81" s="87" t="n">
        <v>450.49</v>
      </c>
      <c r="D81" s="95">
        <f>C81/12</f>
        <v/>
      </c>
      <c r="E81" s="56" t="n">
        <v>10</v>
      </c>
      <c r="F81" s="56" t="n">
        <v>7</v>
      </c>
    </row>
    <row r="82" ht="15" customHeight="1" s="52">
      <c r="A82" s="56" t="n">
        <v>4</v>
      </c>
      <c r="B82" s="56" t="inlineStr">
        <is>
          <t>QUIKTRIP</t>
        </is>
      </c>
      <c r="C82" s="87" t="n">
        <v>292.91</v>
      </c>
      <c r="D82" s="95">
        <f>C82/12</f>
        <v/>
      </c>
      <c r="E82" s="56" t="n">
        <v>6</v>
      </c>
      <c r="F82" s="56" t="n">
        <v>5</v>
      </c>
    </row>
    <row r="83" ht="15" customHeight="1" s="52">
      <c r="A83" s="56" t="n">
        <v>5</v>
      </c>
      <c r="B83" s="56" t="inlineStr">
        <is>
          <t>CHEVRON</t>
        </is>
      </c>
      <c r="C83" s="87" t="n">
        <v>292.45</v>
      </c>
      <c r="D83" s="95">
        <f>C83/12</f>
        <v/>
      </c>
      <c r="E83" s="56" t="n">
        <v>6</v>
      </c>
      <c r="F83" s="56" t="n">
        <v>5</v>
      </c>
    </row>
    <row r="84" ht="15" customHeight="1" s="52">
      <c r="A84" s="56" t="n">
        <v>6</v>
      </c>
      <c r="B84" s="56" t="inlineStr">
        <is>
          <t>AZ MVD FEE</t>
        </is>
      </c>
      <c r="C84" s="87" t="n">
        <v>254.04</v>
      </c>
      <c r="D84" s="95">
        <f>C84/12</f>
        <v/>
      </c>
      <c r="E84" s="56" t="n">
        <v>3</v>
      </c>
      <c r="F84" s="56" t="n">
        <v>1</v>
      </c>
    </row>
    <row r="85" ht="15" customHeight="1" s="52">
      <c r="A85" s="56" t="n">
        <v>7</v>
      </c>
      <c r="B85" s="56" t="inlineStr">
        <is>
          <t>CIRCLE K</t>
        </is>
      </c>
      <c r="C85" s="87" t="n">
        <v>244.14</v>
      </c>
      <c r="D85" s="95">
        <f>C85/12</f>
        <v/>
      </c>
      <c r="E85" s="56" t="n">
        <v>9</v>
      </c>
      <c r="F85" s="56" t="n">
        <v>4</v>
      </c>
    </row>
    <row r="86" ht="15" customHeight="1" s="52">
      <c r="A86" s="56" t="n">
        <v>8</v>
      </c>
      <c r="B86" s="56" t="inlineStr">
        <is>
          <t>NORTH TEXAS TOLLWAY AUTHORITY</t>
        </is>
      </c>
      <c r="C86" s="87" t="n">
        <v>177.02</v>
      </c>
      <c r="D86" s="95">
        <f>C86/12</f>
        <v/>
      </c>
      <c r="E86" s="56" t="n">
        <v>2</v>
      </c>
      <c r="F86" s="56" t="n">
        <v>1</v>
      </c>
    </row>
    <row r="87" ht="15" customHeight="1" s="52">
      <c r="A87" s="56" t="n">
        <v>9</v>
      </c>
      <c r="B87" s="56" t="inlineStr">
        <is>
          <t>AUTOZONE</t>
        </is>
      </c>
      <c r="C87" s="87" t="n">
        <v>170.24</v>
      </c>
      <c r="D87" s="95">
        <f>C87/12</f>
        <v/>
      </c>
      <c r="E87" s="56" t="n">
        <v>4</v>
      </c>
      <c r="F87" s="56" t="n">
        <v>4</v>
      </c>
    </row>
    <row r="88" ht="15" customHeight="1" s="52">
      <c r="A88" s="56" t="n">
        <v>10</v>
      </c>
      <c r="B88" s="56" t="inlineStr">
        <is>
          <t>B&amp;B TOWING MESA AZ 09/04</t>
        </is>
      </c>
      <c r="C88" s="87" t="n">
        <v>120</v>
      </c>
      <c r="D88" s="95">
        <f>C88/12</f>
        <v/>
      </c>
      <c r="E88" s="56" t="n">
        <v>1</v>
      </c>
      <c r="F88" s="56" t="n">
        <v>1</v>
      </c>
    </row>
    <row r="89" ht="15" customHeight="1" s="52">
      <c r="A89" s="56" t="n">
        <v>11</v>
      </c>
      <c r="B89" s="56" t="inlineStr">
        <is>
          <t>EOC03007</t>
        </is>
      </c>
      <c r="C89" s="87" t="n">
        <v>110.48</v>
      </c>
      <c r="D89" s="95">
        <f>C89/12</f>
        <v/>
      </c>
      <c r="E89" s="56" t="n">
        <v>1</v>
      </c>
      <c r="F89" s="56" t="n">
        <v>1</v>
      </c>
    </row>
    <row r="90" ht="15" customHeight="1" s="52">
      <c r="A90" s="56" t="n">
        <v>12</v>
      </c>
      <c r="B90" s="56" t="inlineStr">
        <is>
          <t>SHELL</t>
        </is>
      </c>
      <c r="C90" s="87" t="n">
        <v>64.58</v>
      </c>
      <c r="D90" s="95">
        <f>C90/12</f>
        <v/>
      </c>
      <c r="E90" s="56" t="n">
        <v>2</v>
      </c>
      <c r="F90" s="56" t="n">
        <v>2</v>
      </c>
    </row>
    <row r="92" ht="15" customHeight="1" s="52">
      <c r="A92" s="81" t="inlineStr">
        <is>
          <t>ENTERTAINMENT &amp; REC. — Top 12</t>
        </is>
      </c>
    </row>
    <row r="93" ht="15" customHeight="1" s="52">
      <c r="A93" s="99" t="inlineStr">
        <is>
          <t>Rank</t>
        </is>
      </c>
      <c r="B93" s="99" t="inlineStr">
        <is>
          <t>Merchant</t>
        </is>
      </c>
      <c r="C93" s="99" t="inlineStr">
        <is>
          <t>12-mo Total</t>
        </is>
      </c>
      <c r="D93" s="99" t="inlineStr">
        <is>
          <t>Monthly Avg</t>
        </is>
      </c>
      <c r="E93" s="99" t="inlineStr">
        <is>
          <t>Txns</t>
        </is>
      </c>
      <c r="F93" s="99" t="inlineStr">
        <is>
          <t>Months Active</t>
        </is>
      </c>
    </row>
    <row r="94" ht="15" customHeight="1" s="52">
      <c r="A94" s="56" t="n">
        <v>1</v>
      </c>
      <c r="B94" s="56" t="inlineStr">
        <is>
          <t>GAMESHOWBATTLEROOMS</t>
        </is>
      </c>
      <c r="C94" s="87" t="n">
        <v>459.88</v>
      </c>
      <c r="D94" s="95">
        <f>C94/12</f>
        <v/>
      </c>
      <c r="E94" s="56" t="n">
        <v>2</v>
      </c>
      <c r="F94" s="56" t="n">
        <v>2</v>
      </c>
    </row>
    <row r="95" ht="15" customHeight="1" s="52">
      <c r="A95" s="56" t="n">
        <v>2</v>
      </c>
      <c r="B95" s="56" t="inlineStr">
        <is>
          <t>PHOENIX ZOO AZ 05/25</t>
        </is>
      </c>
      <c r="C95" s="87" t="n">
        <v>289</v>
      </c>
      <c r="D95" s="95">
        <f>C95/12</f>
        <v/>
      </c>
      <c r="E95" s="56" t="n">
        <v>1</v>
      </c>
      <c r="F95" s="56" t="n">
        <v>1</v>
      </c>
    </row>
    <row r="96" ht="15" customHeight="1" s="52">
      <c r="A96" s="56" t="n">
        <v>3</v>
      </c>
      <c r="B96" s="56" t="inlineStr">
        <is>
          <t>GOOGLE YOUTUBE TV</t>
        </is>
      </c>
      <c r="C96" s="87" t="n">
        <v>268.41</v>
      </c>
      <c r="D96" s="95">
        <f>C96/12</f>
        <v/>
      </c>
      <c r="E96" s="56" t="n">
        <v>3</v>
      </c>
      <c r="F96" s="56" t="n">
        <v>3</v>
      </c>
    </row>
    <row r="97" ht="15" customHeight="1" s="52">
      <c r="A97" s="56" t="n">
        <v>4</v>
      </c>
      <c r="B97" s="56" t="inlineStr">
        <is>
          <t>AMAZON</t>
        </is>
      </c>
      <c r="C97" s="87" t="n">
        <v>263.96</v>
      </c>
      <c r="D97" s="95">
        <f>C97/12</f>
        <v/>
      </c>
      <c r="E97" s="56" t="n">
        <v>31</v>
      </c>
      <c r="F97" s="56" t="n">
        <v>12</v>
      </c>
    </row>
    <row r="98" ht="15" customHeight="1" s="52">
      <c r="A98" s="56" t="n">
        <v>5</v>
      </c>
      <c r="B98" s="56" t="inlineStr">
        <is>
          <t>I D E A MUSEUM RETAIL</t>
        </is>
      </c>
      <c r="C98" s="87" t="n">
        <v>200</v>
      </c>
      <c r="D98" s="95">
        <f>C98/12</f>
        <v/>
      </c>
      <c r="E98" s="56" t="n">
        <v>2</v>
      </c>
      <c r="F98" s="56" t="n">
        <v>2</v>
      </c>
    </row>
    <row r="99" ht="15" customHeight="1" s="52">
      <c r="A99" s="56" t="n">
        <v>6</v>
      </c>
      <c r="B99" s="56" t="inlineStr">
        <is>
          <t>GLF*WESTERNSKIESGOLF</t>
        </is>
      </c>
      <c r="C99" s="87" t="n">
        <v>141.88</v>
      </c>
      <c r="D99" s="95">
        <f>C99/12</f>
        <v/>
      </c>
      <c r="E99" s="56" t="n">
        <v>3</v>
      </c>
      <c r="F99" s="56" t="n">
        <v>2</v>
      </c>
    </row>
    <row r="100" ht="15" customHeight="1" s="52">
      <c r="A100" s="56" t="n">
        <v>7</v>
      </c>
      <c r="B100" s="56" t="inlineStr">
        <is>
          <t>SILVERADO GOLF COURSE</t>
        </is>
      </c>
      <c r="C100" s="87" t="n">
        <v>130.52</v>
      </c>
      <c r="D100" s="95">
        <f>C100/12</f>
        <v/>
      </c>
      <c r="E100" s="56" t="n">
        <v>1</v>
      </c>
      <c r="F100" s="56" t="n">
        <v>1</v>
      </c>
    </row>
    <row r="101" ht="15" customHeight="1" s="52">
      <c r="A101" s="56" t="n">
        <v>8</v>
      </c>
      <c r="B101" s="56" t="inlineStr">
        <is>
          <t>APPLE</t>
        </is>
      </c>
      <c r="C101" s="87" t="n">
        <v>127.74</v>
      </c>
      <c r="D101" s="95">
        <f>C101/12</f>
        <v/>
      </c>
      <c r="E101" s="56" t="n">
        <v>8</v>
      </c>
      <c r="F101" s="56" t="n">
        <v>5</v>
      </c>
    </row>
    <row r="102" ht="15" customHeight="1" s="52">
      <c r="A102" s="56" t="n">
        <v>9</v>
      </c>
      <c r="B102" s="56" t="inlineStr">
        <is>
          <t>POPSTROKE 156-12037974 FL YTIGKNGH</t>
        </is>
      </c>
      <c r="C102" s="87" t="n">
        <v>108.24</v>
      </c>
      <c r="D102" s="95">
        <f>C102/12</f>
        <v/>
      </c>
      <c r="E102" s="56" t="n">
        <v>1</v>
      </c>
      <c r="F102" s="56" t="n">
        <v>1</v>
      </c>
    </row>
    <row r="103" ht="15" customHeight="1" s="52">
      <c r="A103" s="56" t="n">
        <v>10</v>
      </c>
      <c r="B103" s="56" t="inlineStr">
        <is>
          <t>TOPGOLF GILBERT 014-2</t>
        </is>
      </c>
      <c r="C103" s="87" t="n">
        <v>107.47</v>
      </c>
      <c r="D103" s="95">
        <f>C103/12</f>
        <v/>
      </c>
      <c r="E103" s="56" t="n">
        <v>1</v>
      </c>
      <c r="F103" s="56" t="n">
        <v>1</v>
      </c>
    </row>
    <row r="104" ht="15" customHeight="1" s="52">
      <c r="A104" s="56" t="n">
        <v>11</v>
      </c>
      <c r="B104" s="56" t="inlineStr">
        <is>
          <t>4UP*PAINTED MTN GC</t>
        </is>
      </c>
      <c r="C104" s="87" t="n">
        <v>86.64</v>
      </c>
      <c r="D104" s="95">
        <f>C104/12</f>
        <v/>
      </c>
      <c r="E104" s="56" t="n">
        <v>1</v>
      </c>
      <c r="F104" s="56" t="n">
        <v>1</v>
      </c>
    </row>
    <row r="105" ht="15" customHeight="1" s="52">
      <c r="A105" s="56" t="n">
        <v>12</v>
      </c>
      <c r="B105" s="56" t="inlineStr">
        <is>
          <t>PLAYSTATION NETWORK</t>
        </is>
      </c>
      <c r="C105" s="87" t="n">
        <v>86.58</v>
      </c>
      <c r="D105" s="95">
        <f>C105/12</f>
        <v/>
      </c>
      <c r="E105" s="56" t="n">
        <v>4</v>
      </c>
      <c r="F105" s="56" t="n">
        <v>4</v>
      </c>
    </row>
    <row r="107" ht="15" customHeight="1" s="52">
      <c r="A107" s="81" t="inlineStr">
        <is>
          <t>BILLS &amp; UTILITIES — Top 12</t>
        </is>
      </c>
    </row>
    <row r="108" ht="15" customHeight="1" s="52">
      <c r="A108" s="99" t="inlineStr">
        <is>
          <t>Rank</t>
        </is>
      </c>
      <c r="B108" s="99" t="inlineStr">
        <is>
          <t>Merchant</t>
        </is>
      </c>
      <c r="C108" s="99" t="inlineStr">
        <is>
          <t>12-mo Total</t>
        </is>
      </c>
      <c r="D108" s="99" t="inlineStr">
        <is>
          <t>Monthly Avg</t>
        </is>
      </c>
      <c r="E108" s="99" t="inlineStr">
        <is>
          <t>Txns</t>
        </is>
      </c>
      <c r="F108" s="99" t="inlineStr">
        <is>
          <t>Months Active</t>
        </is>
      </c>
    </row>
    <row r="109" ht="15" customHeight="1" s="52">
      <c r="A109" s="56" t="n">
        <v>1</v>
      </c>
      <c r="B109" s="56" t="inlineStr">
        <is>
          <t>SOUTHWEST GAS BILLPAY SABRINABRUSNAHAN</t>
        </is>
      </c>
      <c r="C109" s="87" t="n">
        <v>315.92</v>
      </c>
      <c r="D109" s="95">
        <f>C109/12</f>
        <v/>
      </c>
      <c r="E109" s="56" t="n">
        <v>9</v>
      </c>
      <c r="F109" s="56" t="n">
        <v>8</v>
      </c>
    </row>
    <row r="110" ht="15" customHeight="1" s="52">
      <c r="A110" s="56" t="n">
        <v>2</v>
      </c>
      <c r="B110" s="56" t="inlineStr">
        <is>
          <t>PAYMENT TO SOUTHWEST GAS</t>
        </is>
      </c>
      <c r="C110" s="87" t="n">
        <v>104.46</v>
      </c>
      <c r="D110" s="95">
        <f>C110/12</f>
        <v/>
      </c>
      <c r="E110" s="56" t="n">
        <v>3</v>
      </c>
      <c r="F110" s="56" t="n">
        <v>3</v>
      </c>
    </row>
    <row r="111" ht="15" customHeight="1" s="52">
      <c r="A111" s="56" t="n">
        <v>3</v>
      </c>
      <c r="B111" s="56" t="inlineStr">
        <is>
          <t>FRONTIER SEC WEB</t>
        </is>
      </c>
      <c r="C111" s="87" t="n">
        <v>58.49</v>
      </c>
      <c r="D111" s="95">
        <f>C111/12</f>
        <v/>
      </c>
      <c r="E111" s="56" t="n">
        <v>1</v>
      </c>
      <c r="F111" s="56" t="n">
        <v>1</v>
      </c>
    </row>
    <row r="112" ht="15" customHeight="1" s="52">
      <c r="A112" s="56" t="n">
        <v>4</v>
      </c>
      <c r="B112" s="56" t="inlineStr">
        <is>
          <t>VARSITY ENERGY LLC</t>
        </is>
      </c>
      <c r="C112" s="87" t="n">
        <v>25.87</v>
      </c>
      <c r="D112" s="95">
        <f>C112/12</f>
        <v/>
      </c>
      <c r="E112" s="56" t="n">
        <v>1</v>
      </c>
      <c r="F112" s="56" t="n">
        <v>1</v>
      </c>
    </row>
    <row r="113" ht="15" customHeight="1" s="52">
      <c r="A113" s="56" t="n">
        <v>5</v>
      </c>
      <c r="B113" s="56" t="inlineStr">
        <is>
          <t>USPS PO 225 S GILBERT AZ 12/18</t>
        </is>
      </c>
      <c r="C113" s="87" t="n">
        <v>21.95</v>
      </c>
      <c r="D113" s="95">
        <f>C113/12</f>
        <v/>
      </c>
      <c r="E113" s="56" t="n">
        <v>1</v>
      </c>
      <c r="F113" s="56" t="n">
        <v>1</v>
      </c>
    </row>
    <row r="114" ht="15" customHeight="1" s="52">
      <c r="A114" s="56" t="n">
        <v>6</v>
      </c>
      <c r="B114" s="56" t="inlineStr">
        <is>
          <t>USPS PO 225 S GILBERT AZ 08/28</t>
        </is>
      </c>
      <c r="C114" s="87" t="n">
        <v>15.95</v>
      </c>
      <c r="D114" s="95">
        <f>C114/12</f>
        <v/>
      </c>
      <c r="E114" s="56" t="n">
        <v>1</v>
      </c>
      <c r="F114" s="56" t="n">
        <v>1</v>
      </c>
    </row>
    <row r="115" ht="15" customHeight="1" s="52">
      <c r="A115" s="56" t="n">
        <v>7</v>
      </c>
      <c r="B115" s="56" t="inlineStr">
        <is>
          <t>ACT*GILBERTPARKSREC</t>
        </is>
      </c>
      <c r="C115" s="87" t="n">
        <v>12</v>
      </c>
      <c r="D115" s="95">
        <f>C115/12</f>
        <v/>
      </c>
      <c r="E115" s="56" t="n">
        <v>2</v>
      </c>
      <c r="F115" s="56" t="n">
        <v>1</v>
      </c>
    </row>
    <row r="116" ht="15" customHeight="1" s="52">
      <c r="A116" s="56" t="n">
        <v>8</v>
      </c>
      <c r="B116" s="56" t="inlineStr">
        <is>
          <t>UBER *ONE MEMBERSHIP</t>
        </is>
      </c>
      <c r="C116" s="87" t="n">
        <v>9.99</v>
      </c>
      <c r="D116" s="95">
        <f>C116/12</f>
        <v/>
      </c>
      <c r="E116" s="56" t="n">
        <v>1</v>
      </c>
      <c r="F116" s="56" t="n">
        <v>1</v>
      </c>
    </row>
    <row r="117" ht="15" customHeight="1" s="52">
      <c r="A117" s="56" t="n">
        <v>9</v>
      </c>
      <c r="B117" s="56" t="inlineStr">
        <is>
          <t>CITY OF FLAGSTAFF FLAG</t>
        </is>
      </c>
      <c r="C117" s="87" t="n">
        <v>1</v>
      </c>
      <c r="D117" s="95">
        <f>C117/12</f>
        <v/>
      </c>
      <c r="E117" s="56" t="n">
        <v>1</v>
      </c>
      <c r="F117" s="56" t="n">
        <v>1</v>
      </c>
    </row>
    <row r="119" ht="15" customHeight="1" s="52">
      <c r="A119" s="81" t="inlineStr">
        <is>
          <t>CASH &amp; CHECKS — Top 12</t>
        </is>
      </c>
    </row>
    <row r="120" ht="15" customHeight="1" s="52">
      <c r="A120" s="99" t="inlineStr">
        <is>
          <t>Rank</t>
        </is>
      </c>
      <c r="B120" s="99" t="inlineStr">
        <is>
          <t>Merchant</t>
        </is>
      </c>
      <c r="C120" s="99" t="inlineStr">
        <is>
          <t>12-mo Total</t>
        </is>
      </c>
      <c r="D120" s="99" t="inlineStr">
        <is>
          <t>Monthly Avg</t>
        </is>
      </c>
      <c r="E120" s="99" t="inlineStr">
        <is>
          <t>Txns</t>
        </is>
      </c>
      <c r="F120" s="99" t="inlineStr">
        <is>
          <t>Months Active</t>
        </is>
      </c>
    </row>
    <row r="121" ht="15" customHeight="1" s="52">
      <c r="A121" s="56" t="n">
        <v>1</v>
      </c>
      <c r="B121" s="56" t="inlineStr">
        <is>
          <t>VENMO PAYMENT OUT</t>
        </is>
      </c>
      <c r="C121" s="87" t="n">
        <v>1274.24</v>
      </c>
      <c r="D121" s="95">
        <f>C121/12</f>
        <v/>
      </c>
      <c r="E121" s="56" t="n">
        <v>17</v>
      </c>
      <c r="F121" s="56" t="n">
        <v>8</v>
      </c>
    </row>
    <row r="122" ht="15" customHeight="1" s="52">
      <c r="A122" s="56" t="n">
        <v>2</v>
      </c>
      <c r="B122" s="56" t="inlineStr">
        <is>
          <t>CASH WITHDRAWAL</t>
        </is>
      </c>
      <c r="C122" s="87" t="n">
        <v>1200</v>
      </c>
      <c r="D122" s="95">
        <f>C122/12</f>
        <v/>
      </c>
      <c r="E122" s="56" t="n">
        <v>1</v>
      </c>
      <c r="F122" s="56" t="n">
        <v>1</v>
      </c>
    </row>
    <row r="123" ht="15" customHeight="1" s="52">
      <c r="A123" s="56" t="n">
        <v>3</v>
      </c>
      <c r="B123" s="56" t="inlineStr">
        <is>
          <t>PAYPAL</t>
        </is>
      </c>
      <c r="C123" s="87" t="n">
        <v>1043.22</v>
      </c>
      <c r="D123" s="95">
        <f>C123/12</f>
        <v/>
      </c>
      <c r="E123" s="56" t="n">
        <v>20</v>
      </c>
      <c r="F123" s="56" t="n">
        <v>10</v>
      </c>
    </row>
    <row r="124" ht="15" customHeight="1" s="52">
      <c r="A124" s="56" t="n">
        <v>4</v>
      </c>
      <c r="B124" s="56" t="inlineStr">
        <is>
          <t>ZELLE PAYMENT TO JONATHAN BRUSNAHAN JPM99BJ1VE0U</t>
        </is>
      </c>
      <c r="C124" s="87" t="n">
        <v>500</v>
      </c>
      <c r="D124" s="95">
        <f>C124/12</f>
        <v/>
      </c>
      <c r="E124" s="56" t="n">
        <v>1</v>
      </c>
      <c r="F124" s="56" t="n">
        <v>1</v>
      </c>
    </row>
    <row r="125" ht="15" customHeight="1" s="52">
      <c r="A125" s="56" t="n">
        <v>5</v>
      </c>
      <c r="B125" s="56" t="inlineStr">
        <is>
          <t>ZELLE PAYMENT TO ALL THINGS EMBROIDERED 26611087276</t>
        </is>
      </c>
      <c r="C125" s="87" t="n">
        <v>206.37</v>
      </c>
      <c r="D125" s="95">
        <f>C125/12</f>
        <v/>
      </c>
      <c r="E125" s="56" t="n">
        <v>1</v>
      </c>
      <c r="F125" s="56" t="n">
        <v>1</v>
      </c>
    </row>
    <row r="126" ht="15" customHeight="1" s="52">
      <c r="A126" s="56" t="n">
        <v>6</v>
      </c>
      <c r="B126" s="56" t="inlineStr">
        <is>
          <t>ZELLE EFREN RODRIGUEZ MCC 6532</t>
        </is>
      </c>
      <c r="C126" s="87" t="n">
        <v>180</v>
      </c>
      <c r="D126" s="95">
        <f>C126/12</f>
        <v/>
      </c>
      <c r="E126" s="56" t="n">
        <v>1</v>
      </c>
      <c r="F126" s="56" t="n">
        <v>1</v>
      </c>
    </row>
    <row r="127" ht="15" customHeight="1" s="52">
      <c r="A127" s="56" t="n">
        <v>7</v>
      </c>
      <c r="B127" s="56" t="inlineStr">
        <is>
          <t>ZELLE PAYMENT TO KAYLEE RICHOUX 26820096153</t>
        </is>
      </c>
      <c r="C127" s="87" t="n">
        <v>180</v>
      </c>
      <c r="D127" s="95">
        <f>C127/12</f>
        <v/>
      </c>
      <c r="E127" s="56" t="n">
        <v>1</v>
      </c>
      <c r="F127" s="56" t="n">
        <v>1</v>
      </c>
    </row>
    <row r="128" ht="15" customHeight="1" s="52">
      <c r="A128" s="56" t="n">
        <v>8</v>
      </c>
      <c r="B128" s="56" t="inlineStr">
        <is>
          <t>EMERALDAZPH</t>
        </is>
      </c>
      <c r="C128" s="87" t="n">
        <v>75</v>
      </c>
      <c r="D128" s="95">
        <f>C128/12</f>
        <v/>
      </c>
      <c r="E128" s="56" t="n">
        <v>1</v>
      </c>
      <c r="F128" s="56" t="n">
        <v>1</v>
      </c>
    </row>
    <row r="129" ht="15" customHeight="1" s="52">
      <c r="A129" s="56" t="n">
        <v>9</v>
      </c>
      <c r="B129" s="56" t="inlineStr">
        <is>
          <t>EMERALDAZPH XX-2305 AZ XX0000</t>
        </is>
      </c>
      <c r="C129" s="87" t="n">
        <v>65</v>
      </c>
      <c r="D129" s="95">
        <f>C129/12</f>
        <v/>
      </c>
      <c r="E129" s="56" t="n">
        <v>1</v>
      </c>
      <c r="F129" s="56" t="n">
        <v>1</v>
      </c>
    </row>
    <row r="130" ht="15" customHeight="1" s="52">
      <c r="A130" s="56" t="n">
        <v>10</v>
      </c>
      <c r="B130" s="56" t="inlineStr">
        <is>
          <t>BLANCO PHOENIX 23</t>
        </is>
      </c>
      <c r="C130" s="87" t="n">
        <v>34.92</v>
      </c>
      <c r="D130" s="95">
        <f>C130/12</f>
        <v/>
      </c>
      <c r="E130" s="56" t="n">
        <v>1</v>
      </c>
      <c r="F130" s="56" t="n">
        <v>1</v>
      </c>
    </row>
    <row r="131" ht="15" customHeight="1" s="52">
      <c r="A131" s="56" t="n">
        <v>11</v>
      </c>
      <c r="B131" s="56" t="inlineStr">
        <is>
          <t>ZELLE PAYMENT TO JONATHAN BRUSNAHAN JPM99BAPQGC7</t>
        </is>
      </c>
      <c r="C131" s="87" t="n">
        <v>27</v>
      </c>
      <c r="D131" s="95">
        <f>C131/12</f>
        <v/>
      </c>
      <c r="E131" s="56" t="n">
        <v>1</v>
      </c>
      <c r="F131" s="56" t="n">
        <v>1</v>
      </c>
    </row>
    <row r="132" ht="15" customHeight="1" s="52">
      <c r="A132" s="56" t="n">
        <v>12</v>
      </c>
      <c r="B132" s="56" t="inlineStr">
        <is>
          <t>TRANSFER TO ZELLE</t>
        </is>
      </c>
      <c r="C132" s="87" t="n">
        <v>20</v>
      </c>
      <c r="D132" s="95">
        <f>C132/12</f>
        <v/>
      </c>
      <c r="E132" s="56" t="n">
        <v>1</v>
      </c>
      <c r="F132" s="56" t="n">
        <v>1</v>
      </c>
    </row>
    <row r="134" ht="15" customHeight="1" s="52">
      <c r="A134" s="81" t="inlineStr">
        <is>
          <t>UNCATEGORIZED — Top 12</t>
        </is>
      </c>
    </row>
    <row r="135" ht="15" customHeight="1" s="52">
      <c r="A135" s="99" t="inlineStr">
        <is>
          <t>Rank</t>
        </is>
      </c>
      <c r="B135" s="99" t="inlineStr">
        <is>
          <t>Merchant</t>
        </is>
      </c>
      <c r="C135" s="99" t="inlineStr">
        <is>
          <t>12-mo Total</t>
        </is>
      </c>
      <c r="D135" s="99" t="inlineStr">
        <is>
          <t>Monthly Avg</t>
        </is>
      </c>
      <c r="E135" s="99" t="inlineStr">
        <is>
          <t>Txns</t>
        </is>
      </c>
      <c r="F135" s="99" t="inlineStr">
        <is>
          <t>Months Active</t>
        </is>
      </c>
    </row>
    <row r="136" ht="15" customHeight="1" s="52">
      <c r="A136" s="56" t="n">
        <v>1</v>
      </c>
      <c r="B136" s="56" t="inlineStr">
        <is>
          <t>ONLINE BANKING TRANSFER TO 0700</t>
        </is>
      </c>
      <c r="C136" s="87" t="n">
        <v>1000</v>
      </c>
      <c r="D136" s="95">
        <f>C136/12</f>
        <v/>
      </c>
      <c r="E136" s="56" t="n">
        <v>1</v>
      </c>
      <c r="F136" s="56" t="n">
        <v>1</v>
      </c>
    </row>
    <row r="137" ht="15" customHeight="1" s="52">
      <c r="A137" s="56" t="n">
        <v>2</v>
      </c>
      <c r="B137" s="56" t="inlineStr">
        <is>
          <t>ONLINE BANKING EXTERNAL TRANSFER</t>
        </is>
      </c>
      <c r="C137" s="87" t="n">
        <v>875</v>
      </c>
      <c r="D137" s="95">
        <f>C137/12</f>
        <v/>
      </c>
      <c r="E137" s="56" t="n">
        <v>1</v>
      </c>
      <c r="F137" s="56" t="n">
        <v>1</v>
      </c>
    </row>
    <row r="138" ht="15" customHeight="1" s="52">
      <c r="A138" s="56" t="n">
        <v>3</v>
      </c>
      <c r="B138" s="56" t="inlineStr">
        <is>
          <t>ANGEL EYES SMOKE SHOP</t>
        </is>
      </c>
      <c r="C138" s="87" t="n">
        <v>261.73</v>
      </c>
      <c r="D138" s="95">
        <f>C138/12</f>
        <v/>
      </c>
      <c r="E138" s="56" t="n">
        <v>12</v>
      </c>
      <c r="F138" s="56" t="n">
        <v>10</v>
      </c>
    </row>
    <row r="139" ht="15" customHeight="1" s="52">
      <c r="A139" s="56" t="n">
        <v>4</v>
      </c>
      <c r="B139" s="56" t="inlineStr">
        <is>
          <t>EARTHLEY</t>
        </is>
      </c>
      <c r="C139" s="87" t="n">
        <v>125.58</v>
      </c>
      <c r="D139" s="95">
        <f>C139/12</f>
        <v/>
      </c>
      <c r="E139" s="56" t="n">
        <v>1</v>
      </c>
      <c r="F139" s="56" t="n">
        <v>1</v>
      </c>
    </row>
    <row r="140" ht="15" customHeight="1" s="52">
      <c r="A140" s="56" t="n">
        <v>5</v>
      </c>
      <c r="B140" s="56" t="inlineStr">
        <is>
          <t>EFT XX E JUANITA AVE MESA AZ AZXX1617</t>
        </is>
      </c>
      <c r="C140" s="87" t="n">
        <v>78</v>
      </c>
      <c r="D140" s="95">
        <f>C140/12</f>
        <v/>
      </c>
      <c r="E140" s="56" t="n">
        <v>1</v>
      </c>
      <c r="F140" s="56" t="n">
        <v>1</v>
      </c>
    </row>
    <row r="141" ht="15" customHeight="1" s="52">
      <c r="A141" s="56" t="n">
        <v>6</v>
      </c>
      <c r="B141" s="56" t="inlineStr">
        <is>
          <t>TOWN OF FLOWER MOUN XX6010 TX XX1430</t>
        </is>
      </c>
      <c r="C141" s="87" t="n">
        <v>62.55</v>
      </c>
      <c r="D141" s="95">
        <f>C141/12</f>
        <v/>
      </c>
      <c r="E141" s="56" t="n">
        <v>1</v>
      </c>
      <c r="F141" s="56" t="n">
        <v>1</v>
      </c>
    </row>
    <row r="142" ht="15" customHeight="1" s="52">
      <c r="A142" s="56" t="n">
        <v>7</v>
      </c>
      <c r="B142" s="56" t="inlineStr">
        <is>
          <t>THEMEADOWAZ.COM WWW.THEMEADOW AZ 06/18</t>
        </is>
      </c>
      <c r="C142" s="87" t="n">
        <v>59</v>
      </c>
      <c r="D142" s="95">
        <f>C142/12</f>
        <v/>
      </c>
      <c r="E142" s="56" t="n">
        <v>1</v>
      </c>
      <c r="F142" s="56" t="n">
        <v>1</v>
      </c>
    </row>
    <row r="143" ht="15" customHeight="1" s="52">
      <c r="A143" s="56" t="n">
        <v>8</v>
      </c>
      <c r="B143" s="56" t="inlineStr">
        <is>
          <t>ANGEL EYES SMOKE SH GILBERT AZ 00001542</t>
        </is>
      </c>
      <c r="C143" s="87" t="n">
        <v>43.1</v>
      </c>
      <c r="D143" s="95">
        <f>C143/12</f>
        <v/>
      </c>
      <c r="E143" s="56" t="n">
        <v>2</v>
      </c>
      <c r="F143" s="56" t="n">
        <v>2</v>
      </c>
    </row>
    <row r="144" ht="15" customHeight="1" s="52">
      <c r="A144" s="56" t="n">
        <v>9</v>
      </c>
      <c r="B144" s="56" t="inlineStr">
        <is>
          <t>PICAZZOS AZ 05/07</t>
        </is>
      </c>
      <c r="C144" s="87" t="n">
        <v>31</v>
      </c>
      <c r="D144" s="95">
        <f>C144/12</f>
        <v/>
      </c>
      <c r="E144" s="56" t="n">
        <v>1</v>
      </c>
      <c r="F144" s="56" t="n">
        <v>1</v>
      </c>
    </row>
    <row r="145" ht="15" customHeight="1" s="52">
      <c r="A145" s="56" t="n">
        <v>10</v>
      </c>
      <c r="B145" s="56" t="inlineStr">
        <is>
          <t>ANGEL EYES SMOKE SH GILBERT AZ XX1542</t>
        </is>
      </c>
      <c r="C145" s="87" t="n">
        <v>21.55</v>
      </c>
      <c r="D145" s="95">
        <f>C145/12</f>
        <v/>
      </c>
      <c r="E145" s="56" t="n">
        <v>1</v>
      </c>
      <c r="F145" s="56" t="n">
        <v>1</v>
      </c>
    </row>
    <row r="146" ht="15" customHeight="1" s="52">
      <c r="A146" s="56" t="n">
        <v>11</v>
      </c>
      <c r="B146" s="56" t="inlineStr">
        <is>
          <t>ANGEL EYES SMOKE XX E WARNER GILBERT AZ XX1542</t>
        </is>
      </c>
      <c r="C146" s="87" t="n">
        <v>21.55</v>
      </c>
      <c r="D146" s="95">
        <f>C146/12</f>
        <v/>
      </c>
      <c r="E146" s="56" t="n">
        <v>1</v>
      </c>
      <c r="F146" s="56" t="n">
        <v>1</v>
      </c>
    </row>
    <row r="149" ht="15" customHeight="1" s="52">
      <c r="A149" s="81" t="inlineStr">
        <is>
          <t>KEY INSIGHTS</t>
        </is>
      </c>
    </row>
    <row r="150" ht="15" customHeight="1" s="52">
      <c r="A150" s="62" t="inlineStr">
        <is>
          <t>Fry's Food = $14,550 / yr ($1,212/mo) — your #1 vendor. Includes some 'Dining' miscategorizations (deli, prepared food).</t>
        </is>
      </c>
    </row>
    <row r="151" ht="15" customHeight="1" s="52">
      <c r="A151" s="62" t="inlineStr">
        <is>
          <t>Amazon = $11,140 / yr ($928/mo) across 285 transactions — almost every other day. Easiest single lever to cut.</t>
        </is>
      </c>
    </row>
    <row r="152" ht="15" customHeight="1" s="52">
      <c r="A152" s="62" t="inlineStr">
        <is>
          <t>Sam's Club + Costco + Walmart + Target combined = $7,099 / yr ($592/mo) — bulk shopping, partial overlap with groceries.</t>
        </is>
      </c>
    </row>
    <row r="153" ht="15" customHeight="1" s="52">
      <c r="A153" s="62" t="inlineStr">
        <is>
          <t>Fast-food/coffee total ≈ $1,738 / yr (McDonald's, Dunkin', Chick-fil-A, Domino's, Chipotle, Taco Bell) — $145/mo on QSR.</t>
        </is>
      </c>
    </row>
    <row r="154" ht="15" customHeight="1" s="52">
      <c r="A154" s="62" t="inlineStr">
        <is>
          <t>Auto repairs spike: NuVision Auto Glass $990 + Discount Tire $499 + Towing $120 + MVD fees $254 = $1,863. One-time but worth setting an emergency fund.</t>
        </is>
      </c>
    </row>
    <row r="155" ht="15" customHeight="1" s="52">
      <c r="A155" s="62" t="inlineStr">
        <is>
          <t>VRBO $2,704 single trip — not recurring, drops out of run-rate for next 12 months.</t>
        </is>
      </c>
    </row>
    <row r="156" ht="15" customHeight="1" s="52">
      <c r="A156" s="62" t="inlineStr">
        <is>
          <t>Cash/Venmo/PayPal/Zelle outflow ≈ $4,317 / yr ($360/mo) — destination unclear. Worth tracking.</t>
        </is>
      </c>
    </row>
    <row r="157" ht="15" customHeight="1" s="52">
      <c r="A157" s="62" t="inlineStr">
        <is>
          <t>Angel Eyes Smoke Shop = $566 / yr (~$47/mo) split across Variable and Uncategorized.</t>
        </is>
      </c>
    </row>
    <row r="158" ht="15" customHeight="1" s="52">
      <c r="A158" s="62" t="inlineStr">
        <is>
          <t>Lightroom/Photoshop showing in 'Groceries' — miscategorized; these are software, possibly a business expense for photography.</t>
        </is>
      </c>
    </row>
  </sheetData>
  <mergeCells count="21">
    <mergeCell ref="A158:F158"/>
    <mergeCell ref="A149:F149"/>
    <mergeCell ref="A154:F154"/>
    <mergeCell ref="A2:F2"/>
    <mergeCell ref="A47:F47"/>
    <mergeCell ref="A151:F151"/>
    <mergeCell ref="A150:F150"/>
    <mergeCell ref="A32:F32"/>
    <mergeCell ref="A4:F4"/>
    <mergeCell ref="A62:F62"/>
    <mergeCell ref="A134:F134"/>
    <mergeCell ref="A156:F156"/>
    <mergeCell ref="A152:F152"/>
    <mergeCell ref="A155:F155"/>
    <mergeCell ref="A92:F92"/>
    <mergeCell ref="A157:F157"/>
    <mergeCell ref="A77:F77"/>
    <mergeCell ref="A107:F107"/>
    <mergeCell ref="A1:F1"/>
    <mergeCell ref="A119:F119"/>
    <mergeCell ref="A153:F15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6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0" customWidth="1" style="51" min="1" max="1"/>
    <col width="14" customWidth="1" style="51" min="2" max="2"/>
    <col width="10" customWidth="1" style="51" min="3" max="3"/>
    <col width="14" customWidth="1" style="51" min="4" max="4"/>
    <col width="2" customWidth="1" style="51" min="5" max="5"/>
    <col width="50" customWidth="1" style="51" min="6" max="6"/>
  </cols>
  <sheetData>
    <row r="1" ht="19.5" customHeight="1" s="52">
      <c r="A1" s="53" t="inlineStr">
        <is>
          <t>PATH TO +$500/MO — interactive scenario</t>
        </is>
      </c>
    </row>
    <row r="2" ht="15" customHeight="1" s="52">
      <c r="A2" s="54" t="inlineStr">
        <is>
          <t>Edit BLUE cells (% kept of current spend, side-biz growth %). Surplus updates live. Goal: +$500/mo.</t>
        </is>
      </c>
    </row>
    <row r="4" ht="15" customHeight="1" s="52">
      <c r="A4" s="81" t="inlineStr">
        <is>
          <t>INCOME</t>
        </is>
      </c>
    </row>
    <row r="5" ht="15" customHeight="1" s="52">
      <c r="A5" s="99" t="inlineStr">
        <is>
          <t>Source</t>
        </is>
      </c>
      <c r="B5" s="99" t="inlineStr">
        <is>
          <t>Current $/mo</t>
        </is>
      </c>
      <c r="C5" s="99" t="inlineStr">
        <is>
          <t>Growth %</t>
        </is>
      </c>
      <c r="D5" s="99" t="inlineStr">
        <is>
          <t>New $/mo</t>
        </is>
      </c>
      <c r="E5" s="99" t="n"/>
      <c r="F5" s="99" t="inlineStr">
        <is>
          <t>Notes</t>
        </is>
      </c>
    </row>
    <row r="6" ht="15" customHeight="1" s="52">
      <c r="A6" s="56" t="inlineStr">
        <is>
          <t>Kingdom Structural Payroll (locked — COO contract)</t>
        </is>
      </c>
      <c r="B6" s="95" t="n">
        <v>3301.71</v>
      </c>
      <c r="C6" s="101" t="n">
        <v>0</v>
      </c>
      <c r="D6" s="95">
        <f>B6*(1+C6)</f>
        <v/>
      </c>
      <c r="F6" s="54" t="inlineStr">
        <is>
          <t>Contract — no change available</t>
        </is>
      </c>
    </row>
    <row r="7" ht="15" customHeight="1" s="52">
      <c r="A7" s="56" t="inlineStr">
        <is>
          <t>TG Admin LLC Payroll</t>
        </is>
      </c>
      <c r="B7" s="95" t="n">
        <v>3073.58</v>
      </c>
      <c r="C7" s="101" t="n">
        <v>0</v>
      </c>
      <c r="D7" s="95">
        <f>B7*(1+C7)</f>
        <v/>
      </c>
      <c r="F7" s="54" t="inlineStr">
        <is>
          <t>Steady employer pay</t>
        </is>
      </c>
    </row>
    <row r="8" ht="15" customHeight="1" s="52">
      <c r="A8" s="56" t="inlineStr">
        <is>
          <t>Side businesses (Photo + Nails)</t>
        </is>
      </c>
      <c r="B8" s="95" t="n">
        <v>1145.2</v>
      </c>
      <c r="C8" s="101" t="n">
        <v>0.25</v>
      </c>
      <c r="D8" s="95">
        <f>B8*(1+C8)</f>
        <v/>
      </c>
      <c r="F8" s="54" t="inlineStr">
        <is>
          <t>Editable: % growth assumed</t>
        </is>
      </c>
    </row>
    <row r="9" ht="15" customHeight="1" s="52">
      <c r="A9" s="56" t="inlineStr">
        <is>
          <t>Other (interest, refunds, transfers)</t>
        </is>
      </c>
      <c r="B9" s="95" t="n">
        <v>716</v>
      </c>
      <c r="C9" s="101" t="n">
        <v>0</v>
      </c>
      <c r="D9" s="95">
        <f>B9*(1+C9)</f>
        <v/>
      </c>
      <c r="F9" s="54" t="inlineStr">
        <is>
          <t>Misc — assume flat</t>
        </is>
      </c>
    </row>
    <row r="10" ht="15" customHeight="1" s="52">
      <c r="A10" s="58" t="inlineStr">
        <is>
          <t>TOTAL INCOME</t>
        </is>
      </c>
      <c r="B10" s="102">
        <f>SUM(B6:B9)</f>
        <v/>
      </c>
      <c r="C10" s="92" t="n"/>
      <c r="D10" s="102">
        <f>SUM(D6:D9)</f>
        <v/>
      </c>
      <c r="E10" s="92" t="n"/>
      <c r="F10" s="92" t="n"/>
    </row>
    <row r="12" ht="15" customHeight="1" s="52">
      <c r="A12" s="81" t="inlineStr">
        <is>
          <t>FIXED COSTS</t>
        </is>
      </c>
    </row>
    <row r="13" ht="15" customHeight="1" s="52">
      <c r="A13" s="99" t="inlineStr">
        <is>
          <t>Item</t>
        </is>
      </c>
      <c r="B13" s="99" t="inlineStr">
        <is>
          <t>Current $/mo</t>
        </is>
      </c>
      <c r="C13" s="99" t="inlineStr">
        <is>
          <t>Cut %</t>
        </is>
      </c>
      <c r="D13" s="99" t="inlineStr">
        <is>
          <t>New $/mo</t>
        </is>
      </c>
      <c r="E13" s="99" t="n"/>
      <c r="F13" s="99" t="inlineStr">
        <is>
          <t>Notes</t>
        </is>
      </c>
    </row>
    <row r="14" ht="15" customHeight="1" s="52">
      <c r="A14" s="56" t="inlineStr">
        <is>
          <t>Rent</t>
        </is>
      </c>
      <c r="B14" s="95" t="n">
        <v>2770</v>
      </c>
      <c r="C14" s="101" t="n">
        <v>0</v>
      </c>
      <c r="D14" s="95">
        <f>B14*(1-C14)</f>
        <v/>
      </c>
      <c r="F14" s="54" t="inlineStr">
        <is>
          <t>Locked until lease renewal</t>
        </is>
      </c>
    </row>
    <row r="15" ht="15" customHeight="1" s="52">
      <c r="A15" s="56" t="inlineStr">
        <is>
          <t>Auto loan (JPMorgan)</t>
        </is>
      </c>
      <c r="B15" s="95" t="n">
        <v>494.41</v>
      </c>
      <c r="C15" s="101" t="n">
        <v>0</v>
      </c>
      <c r="D15" s="95">
        <f>B15*(1-C15)</f>
        <v/>
      </c>
      <c r="F15" s="54" t="inlineStr">
        <is>
          <t>Locked</t>
        </is>
      </c>
    </row>
    <row r="16" ht="15" customHeight="1" s="52">
      <c r="A16" s="56" t="inlineStr">
        <is>
          <t>SRP Electric</t>
        </is>
      </c>
      <c r="B16" s="95" t="n">
        <v>247.33</v>
      </c>
      <c r="C16" s="101" t="n">
        <v>0</v>
      </c>
      <c r="D16" s="95">
        <f>B16*(1-C16)</f>
        <v/>
      </c>
      <c r="F16" s="54" t="inlineStr">
        <is>
          <t>Mostly fixed; minor savings via thermostat</t>
        </is>
      </c>
    </row>
    <row r="17" ht="15" customHeight="1" s="52">
      <c r="A17" s="56" t="inlineStr">
        <is>
          <t>Progressive Auto</t>
        </is>
      </c>
      <c r="B17" s="95" t="n">
        <v>216.21</v>
      </c>
      <c r="C17" s="101" t="n">
        <v>0.1</v>
      </c>
      <c r="D17" s="95">
        <f>B17*(1-C17)</f>
        <v/>
      </c>
      <c r="F17" s="54" t="inlineStr">
        <is>
          <t>Editable — shop quotes for 10% cut</t>
        </is>
      </c>
    </row>
    <row r="18" ht="15" customHeight="1" s="52">
      <c r="A18" s="56" t="inlineStr">
        <is>
          <t>T-Mobile</t>
        </is>
      </c>
      <c r="B18" s="95" t="n">
        <v>191.8</v>
      </c>
      <c r="C18" s="101" t="n">
        <v>0.4</v>
      </c>
      <c r="D18" s="95">
        <f>B18*(1-C18)</f>
        <v/>
      </c>
      <c r="F18" s="54" t="inlineStr">
        <is>
          <t>Editable — switch to prepaid for big cut</t>
        </is>
      </c>
    </row>
    <row r="19" ht="15" customHeight="1" s="52">
      <c r="A19" s="56" t="inlineStr">
        <is>
          <t>Gilbert Water</t>
        </is>
      </c>
      <c r="B19" s="95" t="n">
        <v>183.96</v>
      </c>
      <c r="C19" s="101" t="n">
        <v>0</v>
      </c>
      <c r="D19" s="95">
        <f>B19*(1-C19)</f>
        <v/>
      </c>
      <c r="F19" s="54" t="inlineStr">
        <is>
          <t>Locked</t>
        </is>
      </c>
    </row>
    <row r="20" ht="15" customHeight="1" s="52">
      <c r="A20" s="56" t="inlineStr">
        <is>
          <t>Affinity Medical</t>
        </is>
      </c>
      <c r="B20" s="95" t="n">
        <v>107.08</v>
      </c>
      <c r="C20" s="101" t="n">
        <v>0</v>
      </c>
      <c r="D20" s="95">
        <f>B20*(1-C20)</f>
        <v/>
      </c>
      <c r="F20" s="54" t="inlineStr">
        <is>
          <t>Necessary</t>
        </is>
      </c>
    </row>
    <row r="21" ht="15" customHeight="1" s="52">
      <c r="A21" s="56" t="inlineStr">
        <is>
          <t>Cox Internet</t>
        </is>
      </c>
      <c r="B21" s="95" t="n">
        <v>100</v>
      </c>
      <c r="C21" s="101" t="n">
        <v>0.1</v>
      </c>
      <c r="D21" s="95">
        <f>B21*(1-C21)</f>
        <v/>
      </c>
      <c r="F21" s="54" t="inlineStr">
        <is>
          <t>Editable — shop alternatives</t>
        </is>
      </c>
    </row>
    <row r="22" ht="15" customHeight="1" s="52">
      <c r="A22" s="56" t="inlineStr">
        <is>
          <t>Pass Gallery (photo software)</t>
        </is>
      </c>
      <c r="B22" s="95" t="n">
        <v>45.85</v>
      </c>
      <c r="C22" s="101" t="n">
        <v>0</v>
      </c>
      <c r="D22" s="95">
        <f>B22*(1-C22)</f>
        <v/>
      </c>
      <c r="F22" s="54" t="inlineStr">
        <is>
          <t>Business expense for photo income</t>
        </is>
      </c>
    </row>
    <row r="23" ht="15" customHeight="1" s="52">
      <c r="A23" s="56" t="inlineStr">
        <is>
          <t>Pest Control</t>
        </is>
      </c>
      <c r="B23" s="95" t="n">
        <v>43.58</v>
      </c>
      <c r="C23" s="101" t="n">
        <v>0.5</v>
      </c>
      <c r="D23" s="95">
        <f>B23*(1-C23)</f>
        <v/>
      </c>
      <c r="F23" s="54" t="inlineStr">
        <is>
          <t>Editable — DIY or quarterly</t>
        </is>
      </c>
    </row>
    <row r="24" ht="15" customHeight="1" s="52">
      <c r="A24" s="56" t="inlineStr">
        <is>
          <t>Netflix</t>
        </is>
      </c>
      <c r="B24" s="95" t="n">
        <v>36.8</v>
      </c>
      <c r="C24" s="101" t="n">
        <v>0</v>
      </c>
      <c r="D24" s="95">
        <f>B24*(1-C24)</f>
        <v/>
      </c>
      <c r="F24" s="54" t="inlineStr">
        <is>
          <t>Editable</t>
        </is>
      </c>
    </row>
    <row r="25" ht="15" customHeight="1" s="52">
      <c r="A25" s="56" t="inlineStr">
        <is>
          <t>Southwest Gas</t>
        </is>
      </c>
      <c r="B25" s="95" t="n">
        <v>35</v>
      </c>
      <c r="C25" s="101" t="n">
        <v>0</v>
      </c>
      <c r="D25" s="95">
        <f>B25*(1-C25)</f>
        <v/>
      </c>
      <c r="F25" s="54" t="inlineStr">
        <is>
          <t>Newly identified — locked</t>
        </is>
      </c>
    </row>
    <row r="26" ht="15" customHeight="1" s="52">
      <c r="A26" s="56" t="inlineStr">
        <is>
          <t>Apple services</t>
        </is>
      </c>
      <c r="B26" s="95" t="n">
        <v>26.06</v>
      </c>
      <c r="C26" s="101" t="n">
        <v>0</v>
      </c>
      <c r="D26" s="95">
        <f>B26*(1-C26)</f>
        <v/>
      </c>
      <c r="F26" s="54" t="inlineStr">
        <is>
          <t>Review what's in here</t>
        </is>
      </c>
    </row>
    <row r="27" ht="15" customHeight="1" s="52">
      <c r="A27" s="56" t="inlineStr">
        <is>
          <t>Amazon Prime</t>
        </is>
      </c>
      <c r="B27" s="95" t="n">
        <v>25.14</v>
      </c>
      <c r="C27" s="101" t="n">
        <v>0</v>
      </c>
      <c r="D27" s="95">
        <f>B27*(1-C27)</f>
        <v/>
      </c>
      <c r="F27" s="54" t="inlineStr">
        <is>
          <t>Keep</t>
        </is>
      </c>
    </row>
    <row r="28" ht="15" customHeight="1" s="52">
      <c r="A28" s="56" t="inlineStr">
        <is>
          <t>Spotify</t>
        </is>
      </c>
      <c r="B28" s="95" t="n">
        <v>22.19</v>
      </c>
      <c r="C28" s="101" t="n">
        <v>0</v>
      </c>
      <c r="D28" s="95">
        <f>B28*(1-C28)</f>
        <v/>
      </c>
      <c r="F28" s="54" t="inlineStr">
        <is>
          <t>Keep</t>
        </is>
      </c>
    </row>
    <row r="29" ht="15" customHeight="1" s="52">
      <c r="A29" s="58" t="inlineStr">
        <is>
          <t>TOTAL FIXED</t>
        </is>
      </c>
      <c r="B29" s="102">
        <f>SUM(B14:B28)</f>
        <v/>
      </c>
      <c r="C29" s="92" t="n"/>
      <c r="D29" s="102">
        <f>SUM(D14:D28)</f>
        <v/>
      </c>
      <c r="E29" s="92" t="n"/>
      <c r="F29" s="92" t="n"/>
    </row>
    <row r="31" ht="15" customHeight="1" s="52">
      <c r="A31" s="81" t="inlineStr">
        <is>
          <t>VARIABLE SPENDING</t>
        </is>
      </c>
    </row>
    <row r="32" ht="15" customHeight="1" s="52">
      <c r="A32" s="99" t="inlineStr">
        <is>
          <t>Item</t>
        </is>
      </c>
      <c r="B32" s="99" t="inlineStr">
        <is>
          <t>Current $/mo</t>
        </is>
      </c>
      <c r="C32" s="99" t="inlineStr">
        <is>
          <t>Cut %</t>
        </is>
      </c>
      <c r="D32" s="99" t="inlineStr">
        <is>
          <t>New $/mo</t>
        </is>
      </c>
      <c r="E32" s="99" t="n"/>
      <c r="F32" s="99" t="inlineStr">
        <is>
          <t>Notes</t>
        </is>
      </c>
    </row>
    <row r="33" ht="15" customHeight="1" s="52">
      <c r="A33" s="56" t="inlineStr">
        <is>
          <t>Shopping (Amazon, Walmart, Target, Sam's, etc.)</t>
        </is>
      </c>
      <c r="B33" s="95" t="n">
        <v>1905.4</v>
      </c>
      <c r="C33" s="101" t="n">
        <v>0.6</v>
      </c>
      <c r="D33" s="95">
        <f>B33*(1-C33)</f>
        <v/>
      </c>
      <c r="F33" s="54" t="inlineStr">
        <is>
          <t>BIGGEST LEVER — Amazon $928/mo, lots of impulse</t>
        </is>
      </c>
    </row>
    <row r="34" ht="15" customHeight="1" s="52">
      <c r="A34" s="56" t="inlineStr">
        <is>
          <t>Groceries (mostly Fry's $1,212/mo)</t>
        </is>
      </c>
      <c r="B34" s="95" t="n">
        <v>1182.67</v>
      </c>
      <c r="C34" s="101" t="n">
        <v>0.25</v>
      </c>
      <c r="D34" s="95">
        <f>B34*(1-C34)</f>
        <v/>
      </c>
      <c r="F34" s="54" t="inlineStr">
        <is>
          <t>Aggressive but realistic</t>
        </is>
      </c>
    </row>
    <row r="35" ht="15" customHeight="1" s="52">
      <c r="A35" s="56" t="inlineStr">
        <is>
          <t>Dining &amp; Drinks</t>
        </is>
      </c>
      <c r="B35" s="95" t="n">
        <v>808.73</v>
      </c>
      <c r="C35" s="101" t="n">
        <v>0.5</v>
      </c>
      <c r="D35" s="95">
        <f>B35*(1-C35)</f>
        <v/>
      </c>
      <c r="F35" s="54" t="inlineStr">
        <is>
          <t>Target ≤5% of income = $412</t>
        </is>
      </c>
    </row>
    <row r="36" ht="15" customHeight="1" s="52">
      <c r="A36" s="56" t="inlineStr">
        <is>
          <t>Cash &amp; Checks (Venmo/Zelle/PayPal out)</t>
        </is>
      </c>
      <c r="B36" s="95" t="n">
        <v>402.91</v>
      </c>
      <c r="C36" s="101" t="n">
        <v>0.6</v>
      </c>
      <c r="D36" s="95">
        <f>B36*(1-C36)</f>
        <v/>
      </c>
      <c r="F36" s="54" t="inlineStr">
        <is>
          <t>Untracked drift — biggest mystery</t>
        </is>
      </c>
    </row>
    <row r="37" ht="15" customHeight="1" s="52">
      <c r="A37" s="56" t="inlineStr">
        <is>
          <t>Auto &amp; Transport (gas + repairs)</t>
        </is>
      </c>
      <c r="B37" s="95" t="n">
        <v>358.49</v>
      </c>
      <c r="C37" s="101" t="n">
        <v>0.1</v>
      </c>
      <c r="D37" s="95">
        <f>B37*(1-C37)</f>
        <v/>
      </c>
      <c r="F37" s="54" t="inlineStr">
        <is>
          <t>Mostly gas — limited room</t>
        </is>
      </c>
    </row>
    <row r="38" ht="15" customHeight="1" s="52">
      <c r="A38" s="56" t="inlineStr">
        <is>
          <t>Entertainment &amp; Recreation</t>
        </is>
      </c>
      <c r="B38" s="95" t="n">
        <v>250.94</v>
      </c>
      <c r="C38" s="101" t="n">
        <v>0.4</v>
      </c>
      <c r="D38" s="95">
        <f>B38*(1-C38)</f>
        <v/>
      </c>
      <c r="F38" s="54" t="inlineStr">
        <is>
          <t>Outings + YouTube TV $22</t>
        </is>
      </c>
    </row>
    <row r="39" ht="15" customHeight="1" s="52">
      <c r="A39" s="56" t="inlineStr">
        <is>
          <t>Travel &amp; Vacation</t>
        </is>
      </c>
      <c r="B39" s="95" t="n">
        <v>234.23</v>
      </c>
      <c r="C39" s="101" t="n">
        <v>0.5</v>
      </c>
      <c r="D39" s="95">
        <f>B39*(1-C39)</f>
        <v/>
      </c>
      <c r="F39" s="54" t="inlineStr">
        <is>
          <t>Inflated by VRBO one-off</t>
        </is>
      </c>
    </row>
    <row r="40" ht="15" customHeight="1" s="52">
      <c r="A40" s="56" t="inlineStr">
        <is>
          <t>Uncategorized</t>
        </is>
      </c>
      <c r="B40" s="95" t="n">
        <v>214.92</v>
      </c>
      <c r="C40" s="101" t="n">
        <v>0.5</v>
      </c>
      <c r="D40" s="95">
        <f>B40*(1-C40)</f>
        <v/>
      </c>
      <c r="F40" s="54" t="inlineStr">
        <is>
          <t>Categorize in RM for clarity</t>
        </is>
      </c>
    </row>
    <row r="41" ht="15" customHeight="1" s="52">
      <c r="A41" s="56" t="inlineStr">
        <is>
          <t>Loan Payment (Desert Financial)</t>
        </is>
      </c>
      <c r="B41" s="95" t="n">
        <v>0</v>
      </c>
      <c r="C41" s="101" t="n">
        <v>0</v>
      </c>
      <c r="D41" s="95">
        <f>B41*(1-C41)</f>
        <v/>
      </c>
      <c r="F41" s="98" t="inlineStr">
        <is>
          <t>RESOLVED — likely internal DFCU transfer, not a loan. Confirmed no open loans.</t>
        </is>
      </c>
    </row>
    <row r="42" ht="15" customHeight="1" s="52">
      <c r="A42" s="56" t="inlineStr">
        <is>
          <t>Personal Care</t>
        </is>
      </c>
      <c r="B42" s="95" t="n">
        <v>105.62</v>
      </c>
      <c r="C42" s="101" t="n">
        <v>0.3</v>
      </c>
      <c r="D42" s="95">
        <f>B42*(1-C42)</f>
        <v/>
      </c>
      <c r="F42" s="54" t="n"/>
    </row>
    <row r="43" ht="15" customHeight="1" s="52">
      <c r="A43" s="56" t="inlineStr">
        <is>
          <t>Health &amp; Wellness</t>
        </is>
      </c>
      <c r="B43" s="95" t="n">
        <v>85.62</v>
      </c>
      <c r="C43" s="101" t="n">
        <v>0.2</v>
      </c>
      <c r="D43" s="95">
        <f>B43*(1-C43)</f>
        <v/>
      </c>
      <c r="F43" s="54" t="n"/>
    </row>
    <row r="44" ht="15" customHeight="1" s="52">
      <c r="A44" s="56" t="inlineStr">
        <is>
          <t>Software &amp; Tech</t>
        </is>
      </c>
      <c r="B44" s="95" t="n">
        <v>83.12</v>
      </c>
      <c r="C44" s="101" t="n">
        <v>0.3</v>
      </c>
      <c r="D44" s="95">
        <f>B44*(1-C44)</f>
        <v/>
      </c>
      <c r="F44" s="54" t="n"/>
    </row>
    <row r="45" ht="15" customHeight="1" s="52">
      <c r="A45" s="56" t="inlineStr">
        <is>
          <t>Medical (out-of-pocket)</t>
        </is>
      </c>
      <c r="B45" s="95" t="n">
        <v>116.1</v>
      </c>
      <c r="C45" s="101" t="n">
        <v>0</v>
      </c>
      <c r="D45" s="95">
        <f>B45*(1-C45)</f>
        <v/>
      </c>
      <c r="F45" s="54" t="inlineStr">
        <is>
          <t>Necessary</t>
        </is>
      </c>
    </row>
    <row r="46" ht="15" customHeight="1" s="52">
      <c r="A46" s="56" t="inlineStr">
        <is>
          <t>Savings Transfer</t>
        </is>
      </c>
      <c r="B46" s="95" t="n">
        <v>437.5</v>
      </c>
      <c r="C46" s="101" t="n">
        <v>0</v>
      </c>
      <c r="D46" s="95">
        <f>B46*(1-C46)</f>
        <v/>
      </c>
      <c r="F46" s="54" t="inlineStr">
        <is>
          <t>Already going to savings — keep</t>
        </is>
      </c>
    </row>
    <row r="47" ht="15" customHeight="1" s="52">
      <c r="A47" s="56" t="inlineStr">
        <is>
          <t>Pets</t>
        </is>
      </c>
      <c r="B47" s="95" t="n">
        <v>48.84</v>
      </c>
      <c r="C47" s="101" t="n">
        <v>0</v>
      </c>
      <c r="D47" s="95">
        <f>B47*(1-C47)</f>
        <v/>
      </c>
      <c r="F47" s="54" t="n"/>
    </row>
    <row r="48" ht="15" customHeight="1" s="52">
      <c r="A48" s="56" t="inlineStr">
        <is>
          <t>Fees</t>
        </is>
      </c>
      <c r="B48" s="95" t="n">
        <v>38.53</v>
      </c>
      <c r="C48" s="101" t="n">
        <v>0.5</v>
      </c>
      <c r="D48" s="95">
        <f>B48*(1-C48)</f>
        <v/>
      </c>
      <c r="F48" s="54" t="inlineStr">
        <is>
          <t>Avoidable bank/late fees</t>
        </is>
      </c>
    </row>
    <row r="49" ht="15" customHeight="1" s="52">
      <c r="A49" s="56" t="inlineStr">
        <is>
          <t>Home &amp; Garden</t>
        </is>
      </c>
      <c r="B49" s="95" t="n">
        <v>15.5</v>
      </c>
      <c r="C49" s="101" t="n">
        <v>0</v>
      </c>
      <c r="D49" s="95">
        <f>B49*(1-C49)</f>
        <v/>
      </c>
      <c r="F49" s="54" t="n"/>
    </row>
    <row r="50" ht="15" customHeight="1" s="52">
      <c r="A50" s="56" t="inlineStr">
        <is>
          <t>Charitable Donations</t>
        </is>
      </c>
      <c r="B50" s="95" t="n">
        <v>15.26</v>
      </c>
      <c r="C50" s="101" t="n">
        <v>0</v>
      </c>
      <c r="D50" s="95">
        <f>B50*(1-C50)</f>
        <v/>
      </c>
      <c r="F50" s="54" t="inlineStr">
        <is>
          <t>Personal value — keep</t>
        </is>
      </c>
    </row>
    <row r="51" ht="15" customHeight="1" s="52">
      <c r="A51" s="56" t="inlineStr">
        <is>
          <t>Education</t>
        </is>
      </c>
      <c r="B51" s="95" t="n">
        <v>2.65</v>
      </c>
      <c r="C51" s="101" t="n">
        <v>0</v>
      </c>
      <c r="D51" s="95">
        <f>B51*(1-C51)</f>
        <v/>
      </c>
      <c r="F51" s="54" t="n"/>
    </row>
    <row r="52" ht="15" customHeight="1" s="52">
      <c r="A52" s="58" t="inlineStr">
        <is>
          <t>TOTAL VARIABLE</t>
        </is>
      </c>
      <c r="B52" s="102">
        <f>SUM(B33:B51)</f>
        <v/>
      </c>
      <c r="C52" s="92" t="n"/>
      <c r="D52" s="102">
        <f>SUM(D33:D51)</f>
        <v/>
      </c>
      <c r="E52" s="92" t="n"/>
      <c r="F52" s="92" t="n"/>
    </row>
    <row r="54" ht="15" customHeight="1" s="52">
      <c r="A54" s="81" t="inlineStr">
        <is>
          <t>RESULT</t>
        </is>
      </c>
    </row>
    <row r="55" ht="15" customHeight="1" s="52">
      <c r="A55" s="103" t="inlineStr">
        <is>
          <t>Metric</t>
        </is>
      </c>
      <c r="B55" s="103" t="inlineStr">
        <is>
          <t>Today</t>
        </is>
      </c>
      <c r="D55" s="103" t="inlineStr">
        <is>
          <t>Scenario</t>
        </is>
      </c>
    </row>
    <row r="56" ht="15" customHeight="1" s="52">
      <c r="A56" s="56" t="inlineStr">
        <is>
          <t>Total income</t>
        </is>
      </c>
      <c r="B56" s="95">
        <f>B10</f>
        <v/>
      </c>
      <c r="D56" s="95">
        <f>D10</f>
        <v/>
      </c>
    </row>
    <row r="57" ht="15" customHeight="1" s="52">
      <c r="A57" s="56" t="inlineStr">
        <is>
          <t>Total expenses (fixed + variable)</t>
        </is>
      </c>
      <c r="B57" s="95">
        <f>B29+B52</f>
        <v/>
      </c>
      <c r="D57" s="95">
        <f>D29+D52</f>
        <v/>
      </c>
    </row>
    <row r="58" ht="15" customHeight="1" s="52">
      <c r="A58" s="58" t="inlineStr">
        <is>
          <t>MONTHLY SURPLUS / (DEFICIT)</t>
        </is>
      </c>
      <c r="B58" s="59">
        <f>B56-B57</f>
        <v/>
      </c>
      <c r="D58" s="59">
        <f>D56-D57</f>
        <v/>
      </c>
    </row>
    <row r="59" ht="15" customHeight="1" s="52">
      <c r="A59" s="56" t="inlineStr">
        <is>
          <t>Annual surplus / (deficit)</t>
        </is>
      </c>
      <c r="B59" s="95">
        <f>B58*12</f>
        <v/>
      </c>
      <c r="D59" s="95">
        <f>D58*12</f>
        <v/>
      </c>
    </row>
    <row r="60" ht="15" customHeight="1" s="52">
      <c r="A60" s="56" t="inlineStr">
        <is>
          <t>Distance from +$500/mo goal</t>
        </is>
      </c>
      <c r="D60" s="83">
        <f>D58-500</f>
        <v/>
      </c>
    </row>
  </sheetData>
  <mergeCells count="6">
    <mergeCell ref="A2:F2"/>
    <mergeCell ref="A54:F54"/>
    <mergeCell ref="A1:F1"/>
    <mergeCell ref="A31:F31"/>
    <mergeCell ref="A12:F12"/>
    <mergeCell ref="A4:F4"/>
  </mergeCells>
  <conditionalFormatting sqref="D58">
    <cfRule type="cellIs" rank="0" priority="2" equalAverage="0" operator="lessThan" aboveAverage="0" dxfId="0" text="" percent="0" bottom="0">
      <formula>0</formula>
    </cfRule>
    <cfRule type="cellIs" rank="0" priority="3" equalAverage="0" operator="greaterThanOrEqual" aboveAverage="0" dxfId="1" text="" percent="0" bottom="0">
      <formula>500</formula>
    </cfRule>
  </conditionalFormatting>
  <conditionalFormatting sqref="D60">
    <cfRule type="cellIs" rank="0" priority="4" equalAverage="0" operator="greaterThanOrEqual" aboveAverage="0" dxfId="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51" min="1" max="1"/>
    <col width="16" customWidth="1" style="51" min="2" max="5"/>
  </cols>
  <sheetData>
    <row r="1" ht="19.5" customHeight="1" s="52">
      <c r="A1" s="53" t="inlineStr">
        <is>
          <t>BUDGET PLAN — closing the deficit</t>
        </is>
      </c>
    </row>
    <row r="3" ht="15" customHeight="1" s="52">
      <c r="A3" s="55" t="inlineStr">
        <is>
          <t>Item</t>
        </is>
      </c>
      <c r="B3" s="55" t="inlineStr">
        <is>
          <t>Current ($/mo)</t>
        </is>
      </c>
      <c r="C3" s="55" t="inlineStr">
        <is>
          <t>Target ($/mo)</t>
        </is>
      </c>
      <c r="D3" s="55" t="inlineStr">
        <is>
          <t>Monthly Save</t>
        </is>
      </c>
      <c r="E3" s="55" t="inlineStr">
        <is>
          <t>Annual Save</t>
        </is>
      </c>
    </row>
    <row r="4" ht="15" customHeight="1" s="52">
      <c r="A4" s="51" t="inlineStr">
        <is>
          <t>Income</t>
        </is>
      </c>
      <c r="B4" s="95">
        <f>Income!C2</f>
        <v/>
      </c>
      <c r="C4" s="95">
        <f>B4</f>
        <v/>
      </c>
      <c r="D4" s="95">
        <f>C4-B4</f>
        <v/>
      </c>
      <c r="E4" s="95">
        <f>D4*12</f>
        <v/>
      </c>
    </row>
    <row r="5" ht="15" customHeight="1" s="52">
      <c r="A5" s="51" t="inlineStr">
        <is>
          <t>Fixed costs</t>
        </is>
      </c>
      <c r="B5" s="95">
        <f>-'Fixed Costs'!D2</f>
        <v/>
      </c>
      <c r="C5" s="95">
        <f>B5</f>
        <v/>
      </c>
      <c r="D5" s="95">
        <f>C5-B5</f>
        <v/>
      </c>
      <c r="E5" s="95">
        <f>D5*12</f>
        <v/>
      </c>
    </row>
    <row r="6" ht="15" customHeight="1" s="52">
      <c r="A6" s="51" t="inlineStr">
        <is>
          <t>Variable spending (current run rate)</t>
        </is>
      </c>
      <c r="B6" s="95">
        <f>-'Variable Costs'!C2</f>
        <v/>
      </c>
      <c r="C6" s="95">
        <f>-'Variable Costs'!D2</f>
        <v/>
      </c>
      <c r="D6" s="95">
        <f>C6-B6</f>
        <v/>
      </c>
      <c r="E6" s="95">
        <f>D6*12</f>
        <v/>
      </c>
    </row>
    <row r="7" ht="15" customHeight="1" s="52">
      <c r="A7" s="58" t="inlineStr">
        <is>
          <t>Net per month</t>
        </is>
      </c>
      <c r="B7" s="59">
        <f>B4+B5+B6</f>
        <v/>
      </c>
      <c r="C7" s="59">
        <f>C4+C5+C6</f>
        <v/>
      </c>
      <c r="D7" s="59">
        <f>D4+D5+D6</f>
        <v/>
      </c>
      <c r="E7" s="59">
        <f>D7*12</f>
        <v/>
      </c>
    </row>
    <row r="9" ht="15" customHeight="1" s="52">
      <c r="A9" s="55" t="inlineStr">
        <is>
          <t>ACTION ITEMS</t>
        </is>
      </c>
    </row>
    <row r="10" ht="15" customHeight="1" s="52">
      <c r="A10" s="56" t="inlineStr">
        <is>
          <t>Cancel unknown subscriptions ('Affinity', 'Pass Gallery') if not needed</t>
        </is>
      </c>
      <c r="B10" s="54" t="inlineStr">
        <is>
          <t>≈$153/mo savings</t>
        </is>
      </c>
    </row>
    <row r="11" ht="15" customHeight="1" s="52">
      <c r="A11" s="56" t="inlineStr">
        <is>
          <t>Audit 'Bills &amp; Utilities' Variable bucket — move recurring bills into Fixed list</t>
        </is>
      </c>
      <c r="B11" s="54" t="inlineStr">
        <is>
          <t>Better visibility</t>
        </is>
      </c>
    </row>
    <row r="12" ht="15" customHeight="1" s="52">
      <c r="A12" s="56" t="inlineStr">
        <is>
          <t>Cut Shopping by 30%</t>
        </is>
      </c>
      <c r="B12" s="54" t="inlineStr">
        <is>
          <t>≈$571/mo savings</t>
        </is>
      </c>
    </row>
    <row r="13" ht="15" customHeight="1" s="52">
      <c r="A13" s="56" t="inlineStr">
        <is>
          <t>Cut Dining &amp; Drinks by 35%</t>
        </is>
      </c>
      <c r="B13" s="54" t="inlineStr">
        <is>
          <t>≈$283/mo savings</t>
        </is>
      </c>
    </row>
    <row r="14" ht="15" customHeight="1" s="52">
      <c r="A14" s="56" t="inlineStr">
        <is>
          <t>Cut Entertainment by 25%</t>
        </is>
      </c>
      <c r="B14" s="54" t="inlineStr">
        <is>
          <t>≈$63/mo savings</t>
        </is>
      </c>
    </row>
    <row r="15" ht="15" customHeight="1" s="52">
      <c r="A15" s="56" t="inlineStr">
        <is>
          <t>Tag Venmo income — only count true personal income</t>
        </is>
      </c>
      <c r="B15" s="54" t="inlineStr">
        <is>
          <t>Better deficit picture</t>
        </is>
      </c>
    </row>
    <row r="16" ht="15" customHeight="1" s="52">
      <c r="A16" s="56" t="inlineStr">
        <is>
          <t>Categorize 'Uncategorized' rows in Rocket Money</t>
        </is>
      </c>
      <c r="B16" s="54" t="inlineStr">
        <is>
          <t>Visibility</t>
        </is>
      </c>
    </row>
    <row r="17" ht="15" customHeight="1" s="52">
      <c r="A17" s="56" t="inlineStr">
        <is>
          <t>Verify Rent shows 9 months — start month?</t>
        </is>
      </c>
      <c r="B17" s="54" t="inlineStr">
        <is>
          <t>Validates fixed cost</t>
        </is>
      </c>
    </row>
    <row r="18" ht="15" customHeight="1" s="52">
      <c r="A18" s="56" t="inlineStr">
        <is>
          <t>Verify JPMorgan transfer purpose ($494/mo)</t>
        </is>
      </c>
      <c r="B18" s="54" t="inlineStr">
        <is>
          <t>May or may not be a real bill</t>
        </is>
      </c>
    </row>
  </sheetData>
  <mergeCells count="11">
    <mergeCell ref="B17:E17"/>
    <mergeCell ref="B18:E18"/>
    <mergeCell ref="B12:E12"/>
    <mergeCell ref="B13:E13"/>
    <mergeCell ref="B16:E16"/>
    <mergeCell ref="B15:E15"/>
    <mergeCell ref="A1:E1"/>
    <mergeCell ref="B11:E11"/>
    <mergeCell ref="B10:E10"/>
    <mergeCell ref="A9:E9"/>
    <mergeCell ref="B14:E14"/>
  </mergeCells>
  <conditionalFormatting sqref="B7">
    <cfRule type="cellIs" rank="0" priority="2" equalAverage="0" operator="lessThan" aboveAverage="0" dxfId="0" text="" percent="0" bottom="0">
      <formula>0</formula>
    </cfRule>
  </conditionalFormatting>
  <conditionalFormatting sqref="C7">
    <cfRule type="cellIs" rank="0" priority="3" equalAverage="0" operator="greaterThan" aboveAverage="0" dxfId="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51" min="1" max="1"/>
    <col width="60" customWidth="1" style="51" min="2" max="2"/>
  </cols>
  <sheetData>
    <row r="1" ht="19.5" customHeight="1" s="52">
      <c r="A1" s="53" t="inlineStr">
        <is>
          <t>How this budget was built</t>
        </is>
      </c>
    </row>
    <row r="3" ht="31.5" customHeight="1" s="52">
      <c r="A3" s="82" t="inlineStr">
        <is>
          <t>Source file</t>
        </is>
      </c>
      <c r="B3" s="104" t="inlineStr">
        <is>
          <t>rocket_money_export.csv.csv (Rocket Money)</t>
        </is>
      </c>
    </row>
    <row r="4" ht="31.5" customHeight="1" s="52">
      <c r="A4" s="82" t="inlineStr">
        <is>
          <t>Period</t>
        </is>
      </c>
      <c r="B4" s="104" t="inlineStr">
        <is>
          <t>2025-05-07 to 2026-05-06 (last 12 months)</t>
        </is>
      </c>
    </row>
    <row r="5" ht="31.5" customHeight="1" s="52">
      <c r="A5" s="82" t="inlineStr">
        <is>
          <t>Sign convention</t>
        </is>
      </c>
      <c r="B5" s="104" t="inlineStr">
        <is>
          <t>Negative amounts = money in, positive = money out</t>
        </is>
      </c>
    </row>
    <row r="6" ht="31.5" customHeight="1" s="52">
      <c r="A6" s="82" t="inlineStr">
        <is>
          <t>Excluded</t>
        </is>
      </c>
      <c r="B6" s="104" t="inlineStr">
        <is>
          <t>Rows where 'Ignored From' is set, plus Categories: Internal Transfers, Credit Card Payment (those are moves between own accounts, not real income/expenses)</t>
        </is>
      </c>
    </row>
    <row r="7" ht="31.5" customHeight="1" s="52">
      <c r="A7" s="82" t="inlineStr">
        <is>
          <t>Income consolidation</t>
        </is>
      </c>
      <c r="B7" s="104" t="inlineStr">
        <is>
          <t>Rows with Amount&lt;0 grouped by merchant keywords: KINGDOM, TG ADMIN, Venmo, Amazon refunds, Interest, Tax refunds, etc.</t>
        </is>
      </c>
    </row>
    <row r="8" ht="31.5" customHeight="1" s="52">
      <c r="A8" s="82" t="inlineStr">
        <is>
          <t>Fixed cost classification</t>
        </is>
      </c>
      <c r="B8" s="104" t="inlineStr">
        <is>
          <t>Hand-curated keyword list (Occasio, Cox, T-Mobile, SRP, Town of Gilbert, Progressive, Netflix, Spotify, Amazon Prime, Apple, JPMorgan transfer, Pest Control)</t>
        </is>
      </c>
    </row>
    <row r="9" ht="31.5" customHeight="1" s="52">
      <c r="A9" s="82" t="inlineStr">
        <is>
          <t>Variable cost classification</t>
        </is>
      </c>
      <c r="B9" s="104" t="inlineStr">
        <is>
          <t>Everything not classified as Fixed, grouped by Rocket Money's Category column</t>
        </is>
      </c>
    </row>
    <row r="10" ht="31.5" customHeight="1" s="52">
      <c r="A10" s="82" t="inlineStr">
        <is>
          <t>Targets</t>
        </is>
      </c>
      <c r="B10" s="104" t="inlineStr">
        <is>
          <t>Rough first cut: Shopping -30%, Dining -35%, Entertainment -25%, Uncategorized -50%, others -5 to -20%</t>
        </is>
      </c>
    </row>
    <row r="11" ht="31.5" customHeight="1" s="52">
      <c r="A11" s="82" t="inlineStr">
        <is>
          <t>Things to verify</t>
        </is>
      </c>
      <c r="B11" s="104" t="inlineStr">
        <is>
          <t>Rent shows 9 of 12 months — confirm start date. Venmo income — likely reimbursements not real pay. Two unknown subscriptions. JPMorgan Chase transfer destination.</t>
        </is>
      </c>
    </row>
    <row r="12" ht="31.5" customHeight="1" s="52">
      <c r="A12" s="82" t="inlineStr">
        <is>
          <t>How to refresh</t>
        </is>
      </c>
      <c r="B12" s="104" t="inlineStr">
        <is>
          <t>Re-export Rocket Money CSV to _automation/, re-run the analysis script. The Excel inputs (blue text) can be overridden in place if you disagree with a classification.</t>
        </is>
      </c>
    </row>
  </sheetData>
  <mergeCells count="11">
    <mergeCell ref="B9:E9"/>
    <mergeCell ref="B8:E8"/>
    <mergeCell ref="B4:E4"/>
    <mergeCell ref="A1:C1"/>
    <mergeCell ref="B12:E12"/>
    <mergeCell ref="B6:E6"/>
    <mergeCell ref="B7:E7"/>
    <mergeCell ref="B11:E11"/>
    <mergeCell ref="B3:E3"/>
    <mergeCell ref="B5:E5"/>
    <mergeCell ref="B10:E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2026-05-07T18:26:53Z</dcterms:created>
  <dcterms:modified xmlns:dcterms="http://purl.org/dc/terms/" xmlns:xsi="http://www.w3.org/2001/XMLSchema-instance" xsi:type="dcterms:W3CDTF">2026-05-07T19:43:19Z</dcterms:modified>
  <cp:revision>0</cp:revision>
</cp:coreProperties>
</file>