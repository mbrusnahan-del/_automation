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ingdomstructural-my.sharepoint.com/personal/jbrusnahan_kingdomstructural_onmicrosoft_com/Documents/_Projects/_automation/"/>
    </mc:Choice>
  </mc:AlternateContent>
  <xr:revisionPtr revIDLastSave="1" documentId="11_3B6CBDA22DB01F637375A56BC3FFD18A664AA7FB" xr6:coauthVersionLast="47" xr6:coauthVersionMax="47" xr10:uidLastSave="{154278BC-1C47-4B9E-B20F-8B079555277A}"/>
  <bookViews>
    <workbookView xWindow="-28905" yWindow="-16320" windowWidth="29040" windowHeight="15720" tabRatio="500" xr2:uid="{00000000-000D-0000-FFFF-FFFF00000000}"/>
  </bookViews>
  <sheets>
    <sheet name="Dashboard" sheetId="1" r:id="rId1"/>
    <sheet name="2027 Budget" sheetId="2" r:id="rId2"/>
    <sheet name="Method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" i="2" l="1"/>
  <c r="E50" i="2"/>
  <c r="C44" i="2"/>
  <c r="F37" i="2"/>
  <c r="F38" i="2" s="1"/>
  <c r="E26" i="2"/>
  <c r="C26" i="2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0" i="2"/>
  <c r="E10" i="2"/>
  <c r="G9" i="2"/>
  <c r="G8" i="2"/>
  <c r="G7" i="2"/>
  <c r="G6" i="2"/>
  <c r="B22" i="1"/>
  <c r="B21" i="1"/>
  <c r="B20" i="1"/>
  <c r="B19" i="1"/>
  <c r="B18" i="1"/>
  <c r="A5" i="1"/>
  <c r="G49" i="2" l="1"/>
  <c r="E49" i="2"/>
  <c r="G29" i="2"/>
  <c r="G26" i="2"/>
  <c r="G33" i="2" l="1"/>
  <c r="G36" i="2"/>
  <c r="G35" i="2"/>
  <c r="E5" i="1"/>
  <c r="G34" i="2"/>
  <c r="H29" i="2"/>
  <c r="G37" i="2"/>
  <c r="C5" i="1"/>
  <c r="H26" i="2"/>
  <c r="G47" i="2" l="1"/>
  <c r="B11" i="1"/>
  <c r="C7" i="1"/>
  <c r="E47" i="2"/>
  <c r="H35" i="2"/>
  <c r="D20" i="1" s="1"/>
  <c r="C20" i="1"/>
  <c r="H36" i="2"/>
  <c r="D21" i="1" s="1"/>
  <c r="C21" i="1"/>
  <c r="C22" i="1"/>
  <c r="E43" i="2"/>
  <c r="E42" i="2"/>
  <c r="H37" i="2"/>
  <c r="D22" i="1" s="1"/>
  <c r="E48" i="2"/>
  <c r="B12" i="1"/>
  <c r="E7" i="1"/>
  <c r="G48" i="2"/>
  <c r="H34" i="2"/>
  <c r="D19" i="1" s="1"/>
  <c r="C19" i="1"/>
  <c r="H33" i="2"/>
  <c r="D18" i="1" s="1"/>
  <c r="G38" i="2"/>
  <c r="H38" i="2" s="1"/>
  <c r="C18" i="1"/>
  <c r="E52" i="2" l="1"/>
  <c r="G43" i="2"/>
  <c r="B14" i="1"/>
  <c r="G52" i="2"/>
  <c r="H43" i="2"/>
  <c r="B13" i="1"/>
  <c r="E51" i="2"/>
  <c r="H42" i="2"/>
  <c r="G42" i="2"/>
  <c r="G44" i="2" s="1"/>
  <c r="E44" i="2"/>
  <c r="G51" i="2"/>
  <c r="E12" i="1"/>
  <c r="D12" i="1"/>
  <c r="E11" i="1"/>
  <c r="D11" i="1"/>
  <c r="E14" i="1" l="1"/>
  <c r="D14" i="1"/>
  <c r="E13" i="1"/>
  <c r="D13" i="1"/>
</calcChain>
</file>

<file path=xl/sharedStrings.xml><?xml version="1.0" encoding="utf-8"?>
<sst xmlns="http://schemas.openxmlformats.org/spreadsheetml/2006/main" count="149" uniqueCount="140">
  <si>
    <t>Kingdom Structural — 2027 Budget Dashboard</t>
  </si>
  <si>
    <t>25/75 model. Subconsultants moved to comp pool. Placeholder lines have realistic 2027 baselines (yellow fill in '2027 Budget' tab).</t>
  </si>
  <si>
    <t>REVENUE</t>
  </si>
  <si>
    <t>OVERHEAD</t>
  </si>
  <si>
    <t>COMP POOL</t>
  </si>
  <si>
    <t>25/75 HEALTH CHECK</t>
  </si>
  <si>
    <t>Metric</t>
  </si>
  <si>
    <t>2027 Forecast</t>
  </si>
  <si>
    <t>Target</t>
  </si>
  <si>
    <t>Status</t>
  </si>
  <si>
    <t>Detail</t>
  </si>
  <si>
    <t>Overhead %</t>
  </si>
  <si>
    <t>≤ 25%</t>
  </si>
  <si>
    <t>Comp Pool %</t>
  </si>
  <si>
    <t>≥ 70%</t>
  </si>
  <si>
    <t>JB K1 Annual</t>
  </si>
  <si>
    <t>$150-200k</t>
  </si>
  <si>
    <t>CV K1 Annual</t>
  </si>
  <si>
    <t>POOL ALLOCATION (5 LINES)</t>
  </si>
  <si>
    <t>Category</t>
  </si>
  <si>
    <t>% of Pool</t>
  </si>
  <si>
    <t>$ Amount</t>
  </si>
  <si>
    <t>% of Revenue</t>
  </si>
  <si>
    <t>Notes</t>
  </si>
  <si>
    <t>W2 Payroll (Engineers + Drafters)</t>
  </si>
  <si>
    <t>Salary + payroll tax for staff</t>
  </si>
  <si>
    <t>Contract Work (1099)</t>
  </si>
  <si>
    <t>Sub-engineers/drafters on staff aug basis</t>
  </si>
  <si>
    <t>Subconsultants / 3PD</t>
  </si>
  <si>
    <t>Project-delivery support — moved from overhead</t>
  </si>
  <si>
    <t>Commissions + Bonuses</t>
  </si>
  <si>
    <t>Performance pay through Paylocity</t>
  </si>
  <si>
    <t>Partner K1 (RESIDUAL)</t>
  </si>
  <si>
    <t>What's left after staff/comm/sub paid</t>
  </si>
  <si>
    <t>STRATEGIC NOTES</t>
  </si>
  <si>
    <t>Subconsultants/3PD now in comp pool (was overhead). Cleaner — they're project-delivery, not overhead. Net K1 is unchanged; just better categorization.</t>
  </si>
  <si>
    <t>Placeholder overhead lines now have realistic 2027 baselines (yellow fill cells in '2027 Budget'): Insurance $15k, Memberships $3.5k, Benefits $10k, Travel $5k, Supplies $2k, Income Tax $5k.</t>
  </si>
  <si>
    <t>Total realistic overhead: ~$118-120k (~17% of revenue) — well under 25% cap. The headroom (~8%) flows to comp pool.</t>
  </si>
  <si>
    <t>K1 distribution paid quarterly, performance-based. NOT equity-driven. Adjust % split in '2027 Budget' to actual work share.</t>
  </si>
  <si>
    <t>If JB or CV K1 shows BELOW: grow revenue, cut overhead lines, or reduce W2/contract allocation %.</t>
  </si>
  <si>
    <t>AR collections directly increase comp pool. $55k overdue + $96k unpaid = potential +$50-150k to pool when collected.</t>
  </si>
  <si>
    <t>KINGDOM STRUCTURAL — 2027 BUDGET</t>
  </si>
  <si>
    <t>25/75 model: ≤25% revenue→overhead, 75% revenue→comp pool. Yellow cells = 2027 baseline estimates (placeholder lines with no 2026 spend).</t>
  </si>
  <si>
    <t>GL Code</t>
  </si>
  <si>
    <t>2026 YTD</t>
  </si>
  <si>
    <t>Months</t>
  </si>
  <si>
    <t>2026 Ann. / 2027 Base</t>
  </si>
  <si>
    <t>Adj %</t>
  </si>
  <si>
    <t>% of Rev</t>
  </si>
  <si>
    <t>9003</t>
  </si>
  <si>
    <t>Invoice</t>
  </si>
  <si>
    <t>9005</t>
  </si>
  <si>
    <t>Reimbursement</t>
  </si>
  <si>
    <t>9004</t>
  </si>
  <si>
    <t>Survey Payment</t>
  </si>
  <si>
    <t>9001</t>
  </si>
  <si>
    <t>Refund</t>
  </si>
  <si>
    <t>TOTAL REVENUE</t>
  </si>
  <si>
    <t>OVERHEAD (TARGET ≤ 25% OF REVENUE)</t>
  </si>
  <si>
    <t>1001</t>
  </si>
  <si>
    <t>Rent-Office Spaces</t>
  </si>
  <si>
    <t>1003</t>
  </si>
  <si>
    <t>Business License</t>
  </si>
  <si>
    <t>1004</t>
  </si>
  <si>
    <t>Employee Benefits (health, etc.)</t>
  </si>
  <si>
    <t>1005</t>
  </si>
  <si>
    <t>Insurance (E&amp;O, GL, Auto)</t>
  </si>
  <si>
    <t>1006</t>
  </si>
  <si>
    <t>Memberships (AISC, NCEES)</t>
  </si>
  <si>
    <t>1008</t>
  </si>
  <si>
    <t>Software</t>
  </si>
  <si>
    <t>2004</t>
  </si>
  <si>
    <t>Meal</t>
  </si>
  <si>
    <t>2005</t>
  </si>
  <si>
    <t>Outside Professional Services (CPA, Atty)</t>
  </si>
  <si>
    <t>2006</t>
  </si>
  <si>
    <t>Taxes and Licenses</t>
  </si>
  <si>
    <t>2007</t>
  </si>
  <si>
    <t>Office Expenses</t>
  </si>
  <si>
    <t>2008</t>
  </si>
  <si>
    <t>Office Supplies</t>
  </si>
  <si>
    <t>2010</t>
  </si>
  <si>
    <t>Income Tax (firm)</t>
  </si>
  <si>
    <t>2011</t>
  </si>
  <si>
    <t>Travel &amp; Transportation</t>
  </si>
  <si>
    <t>TOTAL OVERHEAD</t>
  </si>
  <si>
    <t>PERFORMANCE COMP POOL (= REVENUE − OVERHEAD, TARGET ~75% OF REVENUE)</t>
  </si>
  <si>
    <t>Performance Comp Pool $</t>
  </si>
  <si>
    <t>POOL ALLOCATION</t>
  </si>
  <si>
    <t>GL</t>
  </si>
  <si>
    <t>Allocation</t>
  </si>
  <si>
    <t>2026 Ann.</t>
  </si>
  <si>
    <t>2027 $ Forecast</t>
  </si>
  <si>
    <t>3002+</t>
  </si>
  <si>
    <t>W2 Payroll (engineers + drafters + payroll tax)</t>
  </si>
  <si>
    <t>2002</t>
  </si>
  <si>
    <t>Contract Work (1099 sub-engineers/drafters)</t>
  </si>
  <si>
    <t>3001</t>
  </si>
  <si>
    <t>Subconsultants / 3PD (project delivery support)</t>
  </si>
  <si>
    <t>3004/05</t>
  </si>
  <si>
    <t>5001/02</t>
  </si>
  <si>
    <t>Partner K1 Distributions (RESIDUAL)</t>
  </si>
  <si>
    <t>Total Allocation</t>
  </si>
  <si>
    <t>K1 SPLIT (PERFORMANCE-BASED, NOT EQUITY)</t>
  </si>
  <si>
    <t>Partner</t>
  </si>
  <si>
    <t>% Split</t>
  </si>
  <si>
    <t>Annual K1</t>
  </si>
  <si>
    <t>Per Quarter</t>
  </si>
  <si>
    <t>vs $150-200k</t>
  </si>
  <si>
    <t>5001</t>
  </si>
  <si>
    <t>JB</t>
  </si>
  <si>
    <t>5002</t>
  </si>
  <si>
    <t>CV</t>
  </si>
  <si>
    <t>Total K1</t>
  </si>
  <si>
    <t>HEALTH CHECKS</t>
  </si>
  <si>
    <t>Overhead ≤ 25% of Revenue</t>
  </si>
  <si>
    <t>Performance Comp Pool ≥ 70% of Revenue</t>
  </si>
  <si>
    <t>Pool Allocations sum to 100%</t>
  </si>
  <si>
    <t>K1 split sums to 100%</t>
  </si>
  <si>
    <t>JB K1 in $150-200k target range</t>
  </si>
  <si>
    <t>CV K1 in $150-200k target range</t>
  </si>
  <si>
    <t>How this workbook works</t>
  </si>
  <si>
    <t>25/75 Model</t>
  </si>
  <si>
    <t>Kingdom's strategic split: ≤25% revenue → overhead. 75%+ revenue → performance comp pool. Net retained = $0.</t>
  </si>
  <si>
    <t>Overhead</t>
  </si>
  <si>
    <t>Sum of forecast lines (rent, software, insurance, memberships, etc.). Health check flags if total exceeds 25%.</t>
  </si>
  <si>
    <t>Subconsultants moved to pool</t>
  </si>
  <si>
    <t>GL 3001 reclassified from overhead to comp pool — they're project-delivery support, not overhead. Cleaner reporting.</t>
  </si>
  <si>
    <t>Yellow baseline cells</t>
  </si>
  <si>
    <t>Lines with no 2026 spend (Insurance, Memberships, Benefits, Travel, Supplies, Income Tax) have realistic 2027 baseline estimates instead of $0. Edit these directly to fine-tune.</t>
  </si>
  <si>
    <t>Comp Pool</t>
  </si>
  <si>
    <t>Pool $ = Revenue minus Overhead. Should land at ≥70% of revenue.</t>
  </si>
  <si>
    <t>Pool Allocation</t>
  </si>
  <si>
    <t>5 lines: W2 (40%), Contract (5%), Subconsultants (5%), Commissions+Bonus (10%), Partner K1 (RESIDUAL = 40%). First four are inputs; K1 is what's left.</t>
  </si>
  <si>
    <t>Partner K1</t>
  </si>
  <si>
    <t>Quarterly, performance-based. Edit % split in '2027 Budget' (column C of K1 SPLIT section) to reflect actual work share each partner delivered.</t>
  </si>
  <si>
    <t>Annualization caveat</t>
  </si>
  <si>
    <t>2026 YTD covers Jan-May only. Lines with low months_active show inflated annualizations. Adjust Adj % to true things up.</t>
  </si>
  <si>
    <t>Refresh process</t>
  </si>
  <si>
    <t>Manual until Mercury automation goes live. Paste new YTD numbers into column C/D/E of '2027 Budget' as 2026 progresses.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</si>
</sst>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b/>
      <sz val="10"/>
      <color rgb="FF1F4E78"/>
      <name val="Arial"/>
      <family val="2"/>
    </font>
    <font>
      <b/>
      <sz val="22"/>
      <color rgb="FF008000"/>
      <name val="Arial"/>
      <family val="2"/>
    </font>
    <font>
      <b/>
      <sz val="22"/>
      <color rgb="FF1F4E78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4E78"/>
        <bgColor rgb="FF305496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1F4E78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0" borderId="0" xfId="0" applyFont="1" applyAlignment="1">
      <alignment vertical="top" wrapText="1"/>
    </xf>
    <xf numFmtId="0" fontId="9" fillId="5" borderId="0" xfId="0" applyFont="1" applyFill="1"/>
    <xf numFmtId="0" fontId="8" fillId="4" borderId="0" xfId="0" applyFont="1" applyFill="1" applyAlignment="1">
      <alignment wrapText="1"/>
    </xf>
    <xf numFmtId="0" fontId="7" fillId="3" borderId="0" xfId="0" applyFont="1" applyFill="1"/>
    <xf numFmtId="165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6" fillId="2" borderId="0" xfId="0" applyFont="1" applyFill="1"/>
    <xf numFmtId="0" fontId="6" fillId="0" borderId="0" xfId="0" applyFont="1"/>
    <xf numFmtId="165" fontId="0" fillId="0" borderId="0" xfId="0" applyNumberFormat="1"/>
    <xf numFmtId="0" fontId="6" fillId="0" borderId="0" xfId="0" applyFont="1" applyAlignment="1">
      <alignment horizontal="center"/>
    </xf>
    <xf numFmtId="164" fontId="0" fillId="0" borderId="0" xfId="0" applyNumberFormat="1"/>
    <xf numFmtId="0" fontId="8" fillId="0" borderId="0" xfId="0" applyFont="1"/>
    <xf numFmtId="0" fontId="7" fillId="3" borderId="0" xfId="0" applyFont="1" applyFill="1" applyAlignment="1">
      <alignment horizontal="center" wrapText="1"/>
    </xf>
    <xf numFmtId="0" fontId="8" fillId="6" borderId="0" xfId="0" applyFont="1" applyFill="1"/>
    <xf numFmtId="0" fontId="0" fillId="0" borderId="0" xfId="0" applyAlignment="1">
      <alignment horizontal="center"/>
    </xf>
    <xf numFmtId="165" fontId="10" fillId="7" borderId="0" xfId="0" applyNumberFormat="1" applyFont="1" applyFill="1"/>
    <xf numFmtId="0" fontId="0" fillId="8" borderId="0" xfId="0" applyFill="1"/>
    <xf numFmtId="0" fontId="6" fillId="8" borderId="0" xfId="0" applyFont="1" applyFill="1"/>
    <xf numFmtId="164" fontId="6" fillId="8" borderId="0" xfId="0" applyNumberFormat="1" applyFont="1" applyFill="1"/>
    <xf numFmtId="0" fontId="8" fillId="9" borderId="0" xfId="0" applyFont="1" applyFill="1"/>
    <xf numFmtId="164" fontId="11" fillId="4" borderId="0" xfId="0" applyNumberFormat="1" applyFont="1" applyFill="1"/>
    <xf numFmtId="165" fontId="6" fillId="8" borderId="0" xfId="0" applyNumberFormat="1" applyFont="1" applyFill="1"/>
    <xf numFmtId="0" fontId="6" fillId="2" borderId="0" xfId="0" applyFont="1" applyFill="1" applyAlignment="1">
      <alignment horizontal="center" wrapText="1"/>
    </xf>
    <xf numFmtId="0" fontId="8" fillId="7" borderId="0" xfId="0" applyFont="1" applyFill="1"/>
    <xf numFmtId="0" fontId="6" fillId="7" borderId="0" xfId="0" applyFont="1" applyFill="1"/>
    <xf numFmtId="164" fontId="6" fillId="0" borderId="0" xfId="0" applyNumberFormat="1" applyFont="1"/>
    <xf numFmtId="0" fontId="8" fillId="2" borderId="0" xfId="0" applyFont="1" applyFill="1"/>
  </cellXfs>
  <cellStyles count="1">
    <cellStyle name="Normal" xfId="0" builtinId="0"/>
  </cellStyles>
  <dxfs count="2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Normal="100" workbookViewId="0">
      <selection activeCell="E13" sqref="E13:F13"/>
    </sheetView>
  </sheetViews>
  <sheetFormatPr defaultColWidth="8.7109375" defaultRowHeight="15" x14ac:dyDescent="0.25"/>
  <cols>
    <col min="1" max="1" width="32" customWidth="1"/>
    <col min="2" max="3" width="16" customWidth="1"/>
    <col min="4" max="4" width="13" customWidth="1"/>
    <col min="5" max="5" width="26" customWidth="1"/>
    <col min="6" max="6" width="12" customWidth="1"/>
  </cols>
  <sheetData>
    <row r="1" spans="1:6" ht="19.5" customHeight="1" x14ac:dyDescent="0.3">
      <c r="A1" s="10" t="s">
        <v>0</v>
      </c>
      <c r="B1" s="10"/>
      <c r="C1" s="10"/>
      <c r="D1" s="10"/>
      <c r="E1" s="10"/>
      <c r="F1" s="10"/>
    </row>
    <row r="2" spans="1:6" ht="15" customHeight="1" x14ac:dyDescent="0.25">
      <c r="A2" s="9" t="s">
        <v>1</v>
      </c>
      <c r="B2" s="9"/>
      <c r="C2" s="9"/>
      <c r="D2" s="9"/>
      <c r="E2" s="9"/>
      <c r="F2" s="9"/>
    </row>
    <row r="4" spans="1:6" ht="15" customHeight="1" x14ac:dyDescent="0.25">
      <c r="A4" s="8" t="s">
        <v>2</v>
      </c>
      <c r="B4" s="8"/>
      <c r="C4" s="8" t="s">
        <v>3</v>
      </c>
      <c r="D4" s="8"/>
      <c r="E4" s="8" t="s">
        <v>4</v>
      </c>
      <c r="F4" s="8"/>
    </row>
    <row r="5" spans="1:6" ht="30" customHeight="1" x14ac:dyDescent="0.25">
      <c r="A5" s="7">
        <f>'2027 Budget'!G10</f>
        <v>718451.06640000001</v>
      </c>
      <c r="B5" s="7"/>
      <c r="C5" s="6">
        <f>'2027 Budget'!G26</f>
        <v>115710.29724</v>
      </c>
      <c r="D5" s="6"/>
      <c r="E5" s="7">
        <f>'2027 Budget'!G29</f>
        <v>602740.76916000003</v>
      </c>
      <c r="F5" s="7"/>
    </row>
    <row r="6" spans="1:6" ht="30" customHeight="1" x14ac:dyDescent="0.25">
      <c r="A6" s="7"/>
      <c r="B6" s="7"/>
      <c r="C6" s="6"/>
      <c r="D6" s="6"/>
      <c r="E6" s="7"/>
      <c r="F6" s="7"/>
    </row>
    <row r="7" spans="1:6" ht="15" customHeight="1" x14ac:dyDescent="0.25">
      <c r="C7" s="5">
        <f>'2027 Budget'!H26</f>
        <v>0.16105522373263192</v>
      </c>
      <c r="D7" s="5"/>
      <c r="E7" s="5">
        <f>'2027 Budget'!H29</f>
        <v>0.83894477626736808</v>
      </c>
      <c r="F7" s="5"/>
    </row>
    <row r="9" spans="1:6" ht="15" customHeight="1" x14ac:dyDescent="0.25">
      <c r="A9" s="4" t="s">
        <v>5</v>
      </c>
      <c r="B9" s="4"/>
      <c r="C9" s="4"/>
      <c r="D9" s="4"/>
      <c r="E9" s="4"/>
      <c r="F9" s="4"/>
    </row>
    <row r="10" spans="1:6" ht="15" customHeight="1" x14ac:dyDescent="0.25">
      <c r="A10" s="11" t="s">
        <v>6</v>
      </c>
      <c r="B10" s="11" t="s">
        <v>7</v>
      </c>
      <c r="C10" s="11" t="s">
        <v>8</v>
      </c>
      <c r="D10" s="11" t="s">
        <v>9</v>
      </c>
      <c r="E10" s="11" t="s">
        <v>10</v>
      </c>
      <c r="F10" s="11"/>
    </row>
    <row r="11" spans="1:6" ht="15" customHeight="1" x14ac:dyDescent="0.25">
      <c r="A11" s="12" t="s">
        <v>11</v>
      </c>
      <c r="B11" s="13">
        <f>'2027 Budget'!H26</f>
        <v>0.16105522373263192</v>
      </c>
      <c r="C11" t="s">
        <v>12</v>
      </c>
      <c r="D11" s="14" t="str">
        <f>IF(B11&lt;=0.25,"PASS","FAIL")</f>
        <v>PASS</v>
      </c>
      <c r="E11" s="9" t="str">
        <f>IF(B11&lt;=0.25,"Operating efficient","Trim overhead")</f>
        <v>Operating efficient</v>
      </c>
      <c r="F11" s="9"/>
    </row>
    <row r="12" spans="1:6" ht="15" customHeight="1" x14ac:dyDescent="0.25">
      <c r="A12" s="12" t="s">
        <v>13</v>
      </c>
      <c r="B12" s="13">
        <f>'2027 Budget'!H29</f>
        <v>0.83894477626736808</v>
      </c>
      <c r="C12" t="s">
        <v>14</v>
      </c>
      <c r="D12" s="14" t="str">
        <f>IF(B12&gt;=0.7,"PASS","FAIL")</f>
        <v>PASS</v>
      </c>
      <c r="E12" s="9" t="str">
        <f>IF(B12&gt;=0.7,"Healthy","Overhead squeezing pool")</f>
        <v>Healthy</v>
      </c>
      <c r="F12" s="9"/>
    </row>
    <row r="13" spans="1:6" ht="15" customHeight="1" x14ac:dyDescent="0.25">
      <c r="A13" s="12" t="s">
        <v>15</v>
      </c>
      <c r="B13" s="15">
        <f>'2027 Budget'!E42</f>
        <v>120548.15383200001</v>
      </c>
      <c r="C13" t="s">
        <v>16</v>
      </c>
      <c r="D13" s="14" t="str">
        <f>IF(AND(B13&gt;=150000,B13&lt;=200000),"IN RANGE",IF(B13&lt;150000,"BELOW","ABOVE"))</f>
        <v>BELOW</v>
      </c>
      <c r="E13" s="9" t="str">
        <f>IF(B13&lt;150000,"Need more rev / less expense / less W2 alloc","")</f>
        <v>Need more rev / less expense / less W2 alloc</v>
      </c>
      <c r="F13" s="9"/>
    </row>
    <row r="14" spans="1:6" ht="15" customHeight="1" x14ac:dyDescent="0.25">
      <c r="A14" s="12" t="s">
        <v>17</v>
      </c>
      <c r="B14" s="15">
        <f>'2027 Budget'!E43</f>
        <v>120548.15383200001</v>
      </c>
      <c r="C14" t="s">
        <v>16</v>
      </c>
      <c r="D14" s="14" t="str">
        <f>IF(AND(B14&gt;=150000,B14&lt;=200000),"IN RANGE",IF(B14&lt;150000,"BELOW","ABOVE"))</f>
        <v>BELOW</v>
      </c>
      <c r="E14" s="9" t="str">
        <f>IF(B14&lt;150000,"Need more rev / less expense / less W2 alloc","")</f>
        <v>Need more rev / less expense / less W2 alloc</v>
      </c>
      <c r="F14" s="9"/>
    </row>
    <row r="16" spans="1:6" ht="15" customHeight="1" x14ac:dyDescent="0.25">
      <c r="A16" s="4" t="s">
        <v>18</v>
      </c>
      <c r="B16" s="4"/>
      <c r="C16" s="4"/>
      <c r="D16" s="4"/>
      <c r="E16" s="4"/>
      <c r="F16" s="4"/>
    </row>
    <row r="17" spans="1:6" ht="15" customHeight="1" x14ac:dyDescent="0.25">
      <c r="A17" s="11" t="s">
        <v>19</v>
      </c>
      <c r="B17" s="11" t="s">
        <v>20</v>
      </c>
      <c r="C17" s="11" t="s">
        <v>21</v>
      </c>
      <c r="D17" s="11" t="s">
        <v>22</v>
      </c>
      <c r="E17" s="11" t="s">
        <v>23</v>
      </c>
      <c r="F17" s="11"/>
    </row>
    <row r="18" spans="1:6" ht="15" customHeight="1" x14ac:dyDescent="0.25">
      <c r="A18" s="16" t="s">
        <v>24</v>
      </c>
      <c r="B18" s="13">
        <f>'2027 Budget'!F33</f>
        <v>0.4</v>
      </c>
      <c r="C18" s="15">
        <f>'2027 Budget'!G33</f>
        <v>241096.30766400002</v>
      </c>
      <c r="D18" s="13">
        <f>'2027 Budget'!H33</f>
        <v>0.33557791050694724</v>
      </c>
      <c r="E18" s="9" t="s">
        <v>25</v>
      </c>
      <c r="F18" s="9"/>
    </row>
    <row r="19" spans="1:6" ht="15" customHeight="1" x14ac:dyDescent="0.25">
      <c r="A19" s="16" t="s">
        <v>26</v>
      </c>
      <c r="B19" s="13">
        <f>'2027 Budget'!F34</f>
        <v>0.05</v>
      </c>
      <c r="C19" s="15">
        <f>'2027 Budget'!G34</f>
        <v>30137.038458000003</v>
      </c>
      <c r="D19" s="13">
        <f>'2027 Budget'!H34</f>
        <v>4.1947238813368405E-2</v>
      </c>
      <c r="E19" s="9" t="s">
        <v>27</v>
      </c>
      <c r="F19" s="9"/>
    </row>
    <row r="20" spans="1:6" ht="15" customHeight="1" x14ac:dyDescent="0.25">
      <c r="A20" s="16" t="s">
        <v>28</v>
      </c>
      <c r="B20" s="13">
        <f>'2027 Budget'!F35</f>
        <v>0.05</v>
      </c>
      <c r="C20" s="15">
        <f>'2027 Budget'!G35</f>
        <v>30137.038458000003</v>
      </c>
      <c r="D20" s="13">
        <f>'2027 Budget'!H35</f>
        <v>4.1947238813368405E-2</v>
      </c>
      <c r="E20" s="9" t="s">
        <v>29</v>
      </c>
      <c r="F20" s="9"/>
    </row>
    <row r="21" spans="1:6" ht="15" customHeight="1" x14ac:dyDescent="0.25">
      <c r="A21" s="16" t="s">
        <v>30</v>
      </c>
      <c r="B21" s="13">
        <f>'2027 Budget'!F36</f>
        <v>0.1</v>
      </c>
      <c r="C21" s="15">
        <f>'2027 Budget'!G36</f>
        <v>60274.076916000005</v>
      </c>
      <c r="D21" s="13">
        <f>'2027 Budget'!H36</f>
        <v>8.389447762673681E-2</v>
      </c>
      <c r="E21" s="9" t="s">
        <v>31</v>
      </c>
      <c r="F21" s="9"/>
    </row>
    <row r="22" spans="1:6" ht="15" customHeight="1" x14ac:dyDescent="0.25">
      <c r="A22" s="12" t="s">
        <v>32</v>
      </c>
      <c r="B22" s="13">
        <f>'2027 Budget'!F37</f>
        <v>0.39999999999999991</v>
      </c>
      <c r="C22" s="15">
        <f>'2027 Budget'!G37</f>
        <v>241096.30766400002</v>
      </c>
      <c r="D22" s="13">
        <f>'2027 Budget'!H37</f>
        <v>0.33557791050694724</v>
      </c>
      <c r="E22" s="9" t="s">
        <v>33</v>
      </c>
      <c r="F22" s="9"/>
    </row>
    <row r="24" spans="1:6" ht="15" customHeight="1" x14ac:dyDescent="0.25">
      <c r="A24" s="4" t="s">
        <v>34</v>
      </c>
      <c r="B24" s="4"/>
      <c r="C24" s="4"/>
      <c r="D24" s="4"/>
      <c r="E24" s="4"/>
      <c r="F24" s="4"/>
    </row>
    <row r="25" spans="1:6" ht="23.25" customHeight="1" x14ac:dyDescent="0.25">
      <c r="A25" s="3" t="s">
        <v>35</v>
      </c>
      <c r="B25" s="3"/>
      <c r="C25" s="3"/>
      <c r="D25" s="3"/>
      <c r="E25" s="3"/>
      <c r="F25" s="3"/>
    </row>
    <row r="26" spans="1:6" ht="30.75" customHeight="1" x14ac:dyDescent="0.25">
      <c r="A26" s="3" t="s">
        <v>36</v>
      </c>
      <c r="B26" s="3"/>
      <c r="C26" s="3"/>
      <c r="D26" s="3"/>
      <c r="E26" s="3"/>
      <c r="F26" s="3"/>
    </row>
    <row r="27" spans="1:6" ht="15" customHeight="1" x14ac:dyDescent="0.25">
      <c r="A27" s="3" t="s">
        <v>37</v>
      </c>
      <c r="B27" s="3"/>
      <c r="C27" s="3"/>
      <c r="D27" s="3"/>
      <c r="E27" s="3"/>
      <c r="F27" s="3"/>
    </row>
    <row r="28" spans="1:6" ht="15" customHeight="1" x14ac:dyDescent="0.25">
      <c r="A28" s="3" t="s">
        <v>38</v>
      </c>
      <c r="B28" s="3"/>
      <c r="C28" s="3"/>
      <c r="D28" s="3"/>
      <c r="E28" s="3"/>
      <c r="F28" s="3"/>
    </row>
    <row r="29" spans="1:6" ht="15" customHeight="1" x14ac:dyDescent="0.25">
      <c r="A29" s="3" t="s">
        <v>39</v>
      </c>
      <c r="B29" s="3"/>
      <c r="C29" s="3"/>
      <c r="D29" s="3"/>
      <c r="E29" s="3"/>
      <c r="F29" s="3"/>
    </row>
    <row r="30" spans="1:6" ht="15" customHeight="1" x14ac:dyDescent="0.25">
      <c r="A30" s="3" t="s">
        <v>40</v>
      </c>
      <c r="B30" s="3"/>
      <c r="C30" s="3"/>
      <c r="D30" s="3"/>
      <c r="E30" s="3"/>
      <c r="F30" s="3"/>
    </row>
  </sheetData>
  <mergeCells count="28">
    <mergeCell ref="A28:F28"/>
    <mergeCell ref="A29:F29"/>
    <mergeCell ref="A30:F30"/>
    <mergeCell ref="E22:F22"/>
    <mergeCell ref="A24:F24"/>
    <mergeCell ref="A25:F25"/>
    <mergeCell ref="A26:F26"/>
    <mergeCell ref="A27:F27"/>
    <mergeCell ref="A16:F16"/>
    <mergeCell ref="E18:F18"/>
    <mergeCell ref="E19:F19"/>
    <mergeCell ref="E20:F20"/>
    <mergeCell ref="E21:F21"/>
    <mergeCell ref="A9:F9"/>
    <mergeCell ref="E11:F11"/>
    <mergeCell ref="E12:F12"/>
    <mergeCell ref="E13:F13"/>
    <mergeCell ref="E14:F14"/>
    <mergeCell ref="A5:B6"/>
    <mergeCell ref="C5:D6"/>
    <mergeCell ref="E5:F6"/>
    <mergeCell ref="C7:D7"/>
    <mergeCell ref="E7:F7"/>
    <mergeCell ref="A1:F1"/>
    <mergeCell ref="A2:F2"/>
    <mergeCell ref="A4:B4"/>
    <mergeCell ref="C4:D4"/>
    <mergeCell ref="E4:F4"/>
  </mergeCells>
  <conditionalFormatting sqref="C7">
    <cfRule type="cellIs" dxfId="22" priority="2" operator="greaterThan">
      <formula>0.25</formula>
    </cfRule>
    <cfRule type="cellIs" dxfId="21" priority="3" operator="lessThanOrEqual">
      <formula>0.25</formula>
    </cfRule>
  </conditionalFormatting>
  <conditionalFormatting sqref="D11:D14">
    <cfRule type="expression" dxfId="20" priority="6">
      <formula>OR(D11="PASS",D11="IN RANGE")</formula>
    </cfRule>
    <cfRule type="expression" dxfId="19" priority="7">
      <formula>OR(D11="FAIL",D11="BELOW")</formula>
    </cfRule>
    <cfRule type="expression" dxfId="18" priority="8">
      <formula>D11="ABOVE"</formula>
    </cfRule>
  </conditionalFormatting>
  <conditionalFormatting sqref="E7">
    <cfRule type="cellIs" dxfId="17" priority="4" operator="lessThan">
      <formula>0.7</formula>
    </cfRule>
    <cfRule type="cellIs" dxfId="16" priority="5" operator="greaterThanOrEqual">
      <formula>0.7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42" customWidth="1"/>
    <col min="3" max="3" width="13" customWidth="1"/>
    <col min="4" max="4" width="8" customWidth="1"/>
    <col min="5" max="5" width="14" customWidth="1"/>
    <col min="6" max="6" width="11" customWidth="1"/>
    <col min="7" max="7" width="15" customWidth="1"/>
    <col min="8" max="8" width="14" customWidth="1"/>
  </cols>
  <sheetData>
    <row r="1" spans="1:8" ht="19.5" customHeight="1" x14ac:dyDescent="0.3">
      <c r="A1" s="10" t="s">
        <v>41</v>
      </c>
      <c r="B1" s="10"/>
      <c r="C1" s="10"/>
      <c r="D1" s="10"/>
      <c r="E1" s="10"/>
      <c r="F1" s="10"/>
      <c r="G1" s="10"/>
      <c r="H1" s="10"/>
    </row>
    <row r="2" spans="1:8" ht="15" customHeight="1" x14ac:dyDescent="0.25">
      <c r="A2" s="9" t="s">
        <v>42</v>
      </c>
      <c r="B2" s="9"/>
      <c r="C2" s="9"/>
      <c r="D2" s="9"/>
      <c r="E2" s="9"/>
      <c r="F2" s="9"/>
      <c r="G2" s="9"/>
      <c r="H2" s="9"/>
    </row>
    <row r="4" spans="1:8" ht="31.5" customHeight="1" x14ac:dyDescent="0.25">
      <c r="A4" s="17" t="s">
        <v>43</v>
      </c>
      <c r="B4" s="17" t="s">
        <v>19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7</v>
      </c>
      <c r="H4" s="17" t="s">
        <v>48</v>
      </c>
    </row>
    <row r="5" spans="1:8" ht="15" customHeight="1" x14ac:dyDescent="0.25">
      <c r="A5" s="2" t="s">
        <v>2</v>
      </c>
      <c r="B5" s="2"/>
      <c r="C5" s="2"/>
      <c r="D5" s="2"/>
      <c r="E5" s="2"/>
      <c r="F5" s="2"/>
      <c r="G5" s="2"/>
      <c r="H5" s="2"/>
    </row>
    <row r="6" spans="1:8" ht="15" customHeight="1" x14ac:dyDescent="0.25">
      <c r="A6" s="18" t="s">
        <v>49</v>
      </c>
      <c r="B6" s="18" t="s">
        <v>50</v>
      </c>
      <c r="C6" s="15">
        <v>259202.39</v>
      </c>
      <c r="D6" s="19">
        <v>5</v>
      </c>
      <c r="E6" s="15">
        <v>622085.73600000003</v>
      </c>
      <c r="F6" s="20">
        <v>0.15</v>
      </c>
      <c r="G6" s="15">
        <f>E6*(1+F6)</f>
        <v>715398.59640000004</v>
      </c>
    </row>
    <row r="7" spans="1:8" ht="15" customHeight="1" x14ac:dyDescent="0.25">
      <c r="A7" s="18" t="s">
        <v>51</v>
      </c>
      <c r="B7" s="18" t="s">
        <v>52</v>
      </c>
      <c r="C7" s="15">
        <v>0</v>
      </c>
      <c r="D7" s="19">
        <v>0</v>
      </c>
      <c r="E7" s="15">
        <v>0</v>
      </c>
      <c r="F7" s="20">
        <v>0.1</v>
      </c>
      <c r="G7" s="15">
        <f>E7*(1+F7)</f>
        <v>0</v>
      </c>
    </row>
    <row r="8" spans="1:8" ht="15" customHeight="1" x14ac:dyDescent="0.25">
      <c r="A8" s="18" t="s">
        <v>53</v>
      </c>
      <c r="B8" s="18" t="s">
        <v>54</v>
      </c>
      <c r="C8" s="15">
        <v>0</v>
      </c>
      <c r="D8" s="19">
        <v>0</v>
      </c>
      <c r="E8" s="15">
        <v>0</v>
      </c>
      <c r="F8" s="20">
        <v>0</v>
      </c>
      <c r="G8" s="15">
        <f>E8*(1+F8)</f>
        <v>0</v>
      </c>
    </row>
    <row r="9" spans="1:8" ht="15" customHeight="1" x14ac:dyDescent="0.25">
      <c r="A9" s="18" t="s">
        <v>55</v>
      </c>
      <c r="B9" s="18" t="s">
        <v>56</v>
      </c>
      <c r="C9" s="15">
        <v>1017.49</v>
      </c>
      <c r="D9" s="19">
        <v>4</v>
      </c>
      <c r="E9" s="15">
        <v>3052.47</v>
      </c>
      <c r="F9" s="20">
        <v>0</v>
      </c>
      <c r="G9" s="15">
        <f>E9*(1+F9)</f>
        <v>3052.47</v>
      </c>
    </row>
    <row r="10" spans="1:8" ht="15" customHeight="1" x14ac:dyDescent="0.25">
      <c r="A10" s="21"/>
      <c r="B10" s="22" t="s">
        <v>57</v>
      </c>
      <c r="C10" s="22"/>
      <c r="D10" s="22"/>
      <c r="E10" s="23">
        <f>SUM(E6:E9)</f>
        <v>625138.20600000001</v>
      </c>
      <c r="F10" s="22"/>
      <c r="G10" s="23">
        <f>SUM(G6:G9)</f>
        <v>718451.06640000001</v>
      </c>
      <c r="H10" s="22"/>
    </row>
    <row r="12" spans="1:8" ht="15" customHeight="1" x14ac:dyDescent="0.25">
      <c r="A12" s="2" t="s">
        <v>58</v>
      </c>
      <c r="B12" s="2"/>
      <c r="C12" s="2"/>
      <c r="D12" s="2"/>
      <c r="E12" s="2"/>
      <c r="F12" s="2"/>
      <c r="G12" s="2"/>
      <c r="H12" s="2"/>
    </row>
    <row r="13" spans="1:8" ht="15" customHeight="1" x14ac:dyDescent="0.25">
      <c r="A13" s="24" t="s">
        <v>59</v>
      </c>
      <c r="B13" s="24" t="s">
        <v>60</v>
      </c>
      <c r="C13" s="15">
        <v>7348.77</v>
      </c>
      <c r="D13" s="19">
        <v>5</v>
      </c>
      <c r="E13" s="15">
        <v>17637.047999999999</v>
      </c>
      <c r="F13" s="20">
        <v>0.03</v>
      </c>
      <c r="G13" s="15">
        <f t="shared" ref="G13:G25" si="0">E13*(1+F13)</f>
        <v>18166.159439999999</v>
      </c>
      <c r="H13" s="13">
        <f t="shared" ref="H13:H25" si="1">IFERROR(G13/$G$10,0)</f>
        <v>2.5285172908193487E-2</v>
      </c>
    </row>
    <row r="14" spans="1:8" ht="15" customHeight="1" x14ac:dyDescent="0.25">
      <c r="A14" s="24" t="s">
        <v>61</v>
      </c>
      <c r="B14" s="24" t="s">
        <v>62</v>
      </c>
      <c r="C14" s="15">
        <v>1763.2</v>
      </c>
      <c r="D14" s="19">
        <v>5</v>
      </c>
      <c r="E14" s="15">
        <v>4231.68</v>
      </c>
      <c r="F14" s="20">
        <v>0.05</v>
      </c>
      <c r="G14" s="15">
        <f t="shared" si="0"/>
        <v>4443.2640000000001</v>
      </c>
      <c r="H14" s="13">
        <f t="shared" si="1"/>
        <v>6.1845047043554641E-3</v>
      </c>
    </row>
    <row r="15" spans="1:8" ht="15" customHeight="1" x14ac:dyDescent="0.25">
      <c r="A15" s="24" t="s">
        <v>63</v>
      </c>
      <c r="B15" s="24" t="s">
        <v>64</v>
      </c>
      <c r="C15" s="15">
        <v>0</v>
      </c>
      <c r="D15" s="19">
        <v>0</v>
      </c>
      <c r="E15" s="25">
        <v>10000</v>
      </c>
      <c r="F15" s="20">
        <v>0</v>
      </c>
      <c r="G15" s="15">
        <f t="shared" si="0"/>
        <v>10000</v>
      </c>
      <c r="H15" s="13">
        <f t="shared" si="1"/>
        <v>1.3918832426692325E-2</v>
      </c>
    </row>
    <row r="16" spans="1:8" ht="15" customHeight="1" x14ac:dyDescent="0.25">
      <c r="A16" s="24" t="s">
        <v>65</v>
      </c>
      <c r="B16" s="24" t="s">
        <v>66</v>
      </c>
      <c r="C16" s="15">
        <v>0</v>
      </c>
      <c r="D16" s="19">
        <v>0</v>
      </c>
      <c r="E16" s="25">
        <v>15000</v>
      </c>
      <c r="F16" s="20">
        <v>0</v>
      </c>
      <c r="G16" s="15">
        <f t="shared" si="0"/>
        <v>15000</v>
      </c>
      <c r="H16" s="13">
        <f t="shared" si="1"/>
        <v>2.0878248640038486E-2</v>
      </c>
    </row>
    <row r="17" spans="1:8" ht="15" customHeight="1" x14ac:dyDescent="0.25">
      <c r="A17" s="24" t="s">
        <v>67</v>
      </c>
      <c r="B17" s="24" t="s">
        <v>68</v>
      </c>
      <c r="C17" s="15">
        <v>0</v>
      </c>
      <c r="D17" s="19">
        <v>0</v>
      </c>
      <c r="E17" s="25">
        <v>3500</v>
      </c>
      <c r="F17" s="20">
        <v>0</v>
      </c>
      <c r="G17" s="15">
        <f t="shared" si="0"/>
        <v>3500</v>
      </c>
      <c r="H17" s="13">
        <f t="shared" si="1"/>
        <v>4.8715913493423135E-3</v>
      </c>
    </row>
    <row r="18" spans="1:8" ht="15" customHeight="1" x14ac:dyDescent="0.25">
      <c r="A18" s="24" t="s">
        <v>69</v>
      </c>
      <c r="B18" s="24" t="s">
        <v>70</v>
      </c>
      <c r="C18" s="15">
        <v>8447.7900000000009</v>
      </c>
      <c r="D18" s="19">
        <v>5</v>
      </c>
      <c r="E18" s="15">
        <v>20274.696</v>
      </c>
      <c r="F18" s="20">
        <v>0.05</v>
      </c>
      <c r="G18" s="15">
        <f t="shared" si="0"/>
        <v>21288.430800000002</v>
      </c>
      <c r="H18" s="13">
        <f t="shared" si="1"/>
        <v>2.9631010093243565E-2</v>
      </c>
    </row>
    <row r="19" spans="1:8" ht="15" customHeight="1" x14ac:dyDescent="0.25">
      <c r="A19" s="24" t="s">
        <v>71</v>
      </c>
      <c r="B19" s="24" t="s">
        <v>72</v>
      </c>
      <c r="C19" s="15">
        <v>80.34</v>
      </c>
      <c r="D19" s="19">
        <v>1</v>
      </c>
      <c r="E19" s="15">
        <v>964.08</v>
      </c>
      <c r="F19" s="20">
        <v>0.05</v>
      </c>
      <c r="G19" s="15">
        <f t="shared" si="0"/>
        <v>1012.2840000000001</v>
      </c>
      <c r="H19" s="13">
        <f t="shared" si="1"/>
        <v>1.4089811364221814E-3</v>
      </c>
    </row>
    <row r="20" spans="1:8" ht="15" customHeight="1" x14ac:dyDescent="0.25">
      <c r="A20" s="24" t="s">
        <v>73</v>
      </c>
      <c r="B20" s="24" t="s">
        <v>74</v>
      </c>
      <c r="C20" s="15">
        <v>2800</v>
      </c>
      <c r="D20" s="19">
        <v>2</v>
      </c>
      <c r="E20" s="15">
        <v>16800</v>
      </c>
      <c r="F20" s="20">
        <v>0.05</v>
      </c>
      <c r="G20" s="15">
        <f t="shared" si="0"/>
        <v>17640</v>
      </c>
      <c r="H20" s="13">
        <f t="shared" si="1"/>
        <v>2.4552820400685259E-2</v>
      </c>
    </row>
    <row r="21" spans="1:8" ht="15" customHeight="1" x14ac:dyDescent="0.25">
      <c r="A21" s="24" t="s">
        <v>75</v>
      </c>
      <c r="B21" s="24" t="s">
        <v>76</v>
      </c>
      <c r="C21" s="15">
        <v>751.93</v>
      </c>
      <c r="D21" s="19">
        <v>2</v>
      </c>
      <c r="E21" s="15">
        <v>4511.58</v>
      </c>
      <c r="F21" s="20">
        <v>0.05</v>
      </c>
      <c r="G21" s="15">
        <f t="shared" si="0"/>
        <v>4737.1590000000006</v>
      </c>
      <c r="H21" s="13">
        <f t="shared" si="1"/>
        <v>6.5935722299597386E-3</v>
      </c>
    </row>
    <row r="22" spans="1:8" ht="15" customHeight="1" x14ac:dyDescent="0.25">
      <c r="A22" s="24" t="s">
        <v>77</v>
      </c>
      <c r="B22" s="24" t="s">
        <v>78</v>
      </c>
      <c r="C22" s="15">
        <v>2641</v>
      </c>
      <c r="D22" s="19">
        <v>4</v>
      </c>
      <c r="E22" s="15">
        <v>7923</v>
      </c>
      <c r="F22" s="20">
        <v>0</v>
      </c>
      <c r="G22" s="15">
        <f t="shared" si="0"/>
        <v>7923</v>
      </c>
      <c r="H22" s="13">
        <f t="shared" si="1"/>
        <v>1.1027890931668328E-2</v>
      </c>
    </row>
    <row r="23" spans="1:8" ht="15" customHeight="1" x14ac:dyDescent="0.25">
      <c r="A23" s="24" t="s">
        <v>79</v>
      </c>
      <c r="B23" s="24" t="s">
        <v>80</v>
      </c>
      <c r="C23" s="15">
        <v>0</v>
      </c>
      <c r="D23" s="19">
        <v>0</v>
      </c>
      <c r="E23" s="25">
        <v>2000</v>
      </c>
      <c r="F23" s="20">
        <v>0</v>
      </c>
      <c r="G23" s="15">
        <f t="shared" si="0"/>
        <v>2000</v>
      </c>
      <c r="H23" s="13">
        <f t="shared" si="1"/>
        <v>2.7837664853384647E-3</v>
      </c>
    </row>
    <row r="24" spans="1:8" ht="15" customHeight="1" x14ac:dyDescent="0.25">
      <c r="A24" s="24" t="s">
        <v>81</v>
      </c>
      <c r="B24" s="24" t="s">
        <v>82</v>
      </c>
      <c r="C24" s="15">
        <v>0</v>
      </c>
      <c r="D24" s="19">
        <v>0</v>
      </c>
      <c r="E24" s="25">
        <v>5000</v>
      </c>
      <c r="F24" s="20">
        <v>0</v>
      </c>
      <c r="G24" s="15">
        <f t="shared" si="0"/>
        <v>5000</v>
      </c>
      <c r="H24" s="13">
        <f t="shared" si="1"/>
        <v>6.9594162133461623E-3</v>
      </c>
    </row>
    <row r="25" spans="1:8" ht="15" customHeight="1" x14ac:dyDescent="0.25">
      <c r="A25" s="24" t="s">
        <v>83</v>
      </c>
      <c r="B25" s="24" t="s">
        <v>84</v>
      </c>
      <c r="C25" s="15">
        <v>0</v>
      </c>
      <c r="D25" s="19">
        <v>0</v>
      </c>
      <c r="E25" s="25">
        <v>5000</v>
      </c>
      <c r="F25" s="20">
        <v>0</v>
      </c>
      <c r="G25" s="15">
        <f t="shared" si="0"/>
        <v>5000</v>
      </c>
      <c r="H25" s="13">
        <f t="shared" si="1"/>
        <v>6.9594162133461623E-3</v>
      </c>
    </row>
    <row r="26" spans="1:8" ht="15" customHeight="1" x14ac:dyDescent="0.25">
      <c r="A26" s="21"/>
      <c r="B26" s="22" t="s">
        <v>85</v>
      </c>
      <c r="C26" s="23">
        <f>SUM(C13:C25)</f>
        <v>23833.030000000002</v>
      </c>
      <c r="D26" s="22"/>
      <c r="E26" s="23">
        <f>SUM(E13:E25)</f>
        <v>112842.084</v>
      </c>
      <c r="F26" s="22"/>
      <c r="G26" s="23">
        <f>SUM(G13:G25)</f>
        <v>115710.29724</v>
      </c>
      <c r="H26" s="26">
        <f>G26/$G$10</f>
        <v>0.16105522373263192</v>
      </c>
    </row>
    <row r="28" spans="1:8" ht="15" customHeight="1" x14ac:dyDescent="0.25">
      <c r="A28" s="2" t="s">
        <v>86</v>
      </c>
      <c r="B28" s="2"/>
      <c r="C28" s="2"/>
      <c r="D28" s="2"/>
      <c r="E28" s="2"/>
      <c r="F28" s="2"/>
      <c r="G28" s="2"/>
      <c r="H28" s="2"/>
    </row>
    <row r="29" spans="1:8" ht="15" customHeight="1" x14ac:dyDescent="0.25">
      <c r="A29" s="21"/>
      <c r="B29" s="22" t="s">
        <v>87</v>
      </c>
      <c r="C29" s="21"/>
      <c r="D29" s="21"/>
      <c r="E29" s="21"/>
      <c r="F29" s="21"/>
      <c r="G29" s="23">
        <f>G10-G26</f>
        <v>602740.76916000003</v>
      </c>
      <c r="H29" s="26">
        <f>G29/$G$10</f>
        <v>0.83894477626736808</v>
      </c>
    </row>
    <row r="31" spans="1:8" ht="15" customHeight="1" x14ac:dyDescent="0.25">
      <c r="A31" s="2" t="s">
        <v>88</v>
      </c>
      <c r="B31" s="2"/>
      <c r="C31" s="2"/>
      <c r="D31" s="2"/>
      <c r="E31" s="2"/>
      <c r="F31" s="2"/>
      <c r="G31" s="2"/>
      <c r="H31" s="2"/>
    </row>
    <row r="32" spans="1:8" ht="15" customHeight="1" x14ac:dyDescent="0.25">
      <c r="A32" s="27" t="s">
        <v>89</v>
      </c>
      <c r="B32" s="27" t="s">
        <v>90</v>
      </c>
      <c r="C32" s="27" t="s">
        <v>44</v>
      </c>
      <c r="D32" s="27" t="s">
        <v>45</v>
      </c>
      <c r="E32" s="27" t="s">
        <v>91</v>
      </c>
      <c r="F32" s="27" t="s">
        <v>20</v>
      </c>
      <c r="G32" s="27" t="s">
        <v>92</v>
      </c>
      <c r="H32" s="27" t="s">
        <v>48</v>
      </c>
    </row>
    <row r="33" spans="1:8" ht="15" customHeight="1" x14ac:dyDescent="0.25">
      <c r="A33" s="28" t="s">
        <v>93</v>
      </c>
      <c r="B33" s="28" t="s">
        <v>94</v>
      </c>
      <c r="C33" s="15">
        <v>80252.587</v>
      </c>
      <c r="D33" s="19">
        <v>4</v>
      </c>
      <c r="E33" s="15">
        <v>240757.761</v>
      </c>
      <c r="F33" s="20">
        <v>0.4</v>
      </c>
      <c r="G33" s="15">
        <f>$G$29*F33</f>
        <v>241096.30766400002</v>
      </c>
      <c r="H33" s="13">
        <f t="shared" ref="H33:H38" si="2">G33/$G$10</f>
        <v>0.33557791050694724</v>
      </c>
    </row>
    <row r="34" spans="1:8" ht="15" customHeight="1" x14ac:dyDescent="0.25">
      <c r="A34" s="28" t="s">
        <v>95</v>
      </c>
      <c r="B34" s="28" t="s">
        <v>96</v>
      </c>
      <c r="C34" s="15">
        <v>7606.75</v>
      </c>
      <c r="D34" s="19">
        <v>1</v>
      </c>
      <c r="E34" s="15">
        <v>91281</v>
      </c>
      <c r="F34" s="20">
        <v>0.05</v>
      </c>
      <c r="G34" s="15">
        <f>$G$29*F34</f>
        <v>30137.038458000003</v>
      </c>
      <c r="H34" s="13">
        <f t="shared" si="2"/>
        <v>4.1947238813368405E-2</v>
      </c>
    </row>
    <row r="35" spans="1:8" ht="15" customHeight="1" x14ac:dyDescent="0.25">
      <c r="A35" s="28" t="s">
        <v>97</v>
      </c>
      <c r="B35" s="28" t="s">
        <v>98</v>
      </c>
      <c r="C35" s="15">
        <v>0</v>
      </c>
      <c r="D35" s="19">
        <v>0</v>
      </c>
      <c r="E35" s="15">
        <v>0</v>
      </c>
      <c r="F35" s="20">
        <v>0.05</v>
      </c>
      <c r="G35" s="15">
        <f>$G$29*F35</f>
        <v>30137.038458000003</v>
      </c>
      <c r="H35" s="13">
        <f t="shared" si="2"/>
        <v>4.1947238813368405E-2</v>
      </c>
    </row>
    <row r="36" spans="1:8" ht="15" customHeight="1" x14ac:dyDescent="0.25">
      <c r="A36" s="28" t="s">
        <v>99</v>
      </c>
      <c r="B36" s="28" t="s">
        <v>30</v>
      </c>
      <c r="C36" s="15">
        <v>13181.22</v>
      </c>
      <c r="D36" s="19">
        <v>2</v>
      </c>
      <c r="E36" s="15">
        <v>79087.320000000007</v>
      </c>
      <c r="F36" s="20">
        <v>0.1</v>
      </c>
      <c r="G36" s="15">
        <f>$G$29*F36</f>
        <v>60274.076916000005</v>
      </c>
      <c r="H36" s="13">
        <f t="shared" si="2"/>
        <v>8.389447762673681E-2</v>
      </c>
    </row>
    <row r="37" spans="1:8" ht="15" customHeight="1" x14ac:dyDescent="0.25">
      <c r="A37" s="28" t="s">
        <v>100</v>
      </c>
      <c r="B37" s="29" t="s">
        <v>101</v>
      </c>
      <c r="C37" s="15">
        <v>85264.98</v>
      </c>
      <c r="D37" s="19">
        <v>2</v>
      </c>
      <c r="E37" s="15">
        <v>718744.92</v>
      </c>
      <c r="F37" s="13">
        <f>1-F33-F34-F35-F36</f>
        <v>0.39999999999999991</v>
      </c>
      <c r="G37" s="30">
        <f>$G$29-G33-G34-G35-G36</f>
        <v>241096.30766400002</v>
      </c>
      <c r="H37" s="13">
        <f t="shared" si="2"/>
        <v>0.33557791050694724</v>
      </c>
    </row>
    <row r="38" spans="1:8" ht="15" customHeight="1" x14ac:dyDescent="0.25">
      <c r="A38" s="21"/>
      <c r="B38" s="22" t="s">
        <v>102</v>
      </c>
      <c r="C38" s="22"/>
      <c r="D38" s="22"/>
      <c r="E38" s="22"/>
      <c r="F38" s="26">
        <f>SUM(F33:F37)</f>
        <v>0.99999999999999989</v>
      </c>
      <c r="G38" s="23">
        <f>SUM(G33:G37)</f>
        <v>602740.76916000003</v>
      </c>
      <c r="H38" s="26">
        <f t="shared" si="2"/>
        <v>0.83894477626736808</v>
      </c>
    </row>
    <row r="40" spans="1:8" ht="15" customHeight="1" x14ac:dyDescent="0.25">
      <c r="A40" s="2" t="s">
        <v>103</v>
      </c>
      <c r="B40" s="2"/>
      <c r="C40" s="2"/>
      <c r="D40" s="2"/>
      <c r="E40" s="2"/>
      <c r="F40" s="2"/>
      <c r="G40" s="2"/>
      <c r="H40" s="2"/>
    </row>
    <row r="41" spans="1:8" ht="15" customHeight="1" x14ac:dyDescent="0.25">
      <c r="A41" s="27"/>
      <c r="B41" s="27" t="s">
        <v>104</v>
      </c>
      <c r="C41" s="27" t="s">
        <v>105</v>
      </c>
      <c r="D41" s="27"/>
      <c r="E41" s="27" t="s">
        <v>106</v>
      </c>
      <c r="F41" s="27"/>
      <c r="G41" s="27" t="s">
        <v>107</v>
      </c>
      <c r="H41" s="27" t="s">
        <v>108</v>
      </c>
    </row>
    <row r="42" spans="1:8" ht="15" customHeight="1" x14ac:dyDescent="0.25">
      <c r="A42" s="31" t="s">
        <v>109</v>
      </c>
      <c r="B42" s="31" t="s">
        <v>110</v>
      </c>
      <c r="C42" s="20">
        <v>0.5</v>
      </c>
      <c r="E42" s="15">
        <f>$G$37*C42</f>
        <v>120548.15383200001</v>
      </c>
      <c r="G42" s="15">
        <f>E42/4</f>
        <v>30137.038458000003</v>
      </c>
      <c r="H42" s="19" t="str">
        <f>IF(E42&gt;=150000,IF(E42&lt;=200000,"In range","Above"),"Below")</f>
        <v>Below</v>
      </c>
    </row>
    <row r="43" spans="1:8" ht="15" customHeight="1" x14ac:dyDescent="0.25">
      <c r="A43" s="31" t="s">
        <v>111</v>
      </c>
      <c r="B43" s="31" t="s">
        <v>112</v>
      </c>
      <c r="C43" s="20">
        <v>0.5</v>
      </c>
      <c r="E43" s="15">
        <f>$G$37*C43</f>
        <v>120548.15383200001</v>
      </c>
      <c r="G43" s="15">
        <f>E43/4</f>
        <v>30137.038458000003</v>
      </c>
      <c r="H43" s="19" t="str">
        <f>IF(E43&gt;=150000,IF(E43&lt;=200000,"In range","Above"),"Below")</f>
        <v>Below</v>
      </c>
    </row>
    <row r="44" spans="1:8" ht="15" customHeight="1" x14ac:dyDescent="0.25">
      <c r="A44" s="21"/>
      <c r="B44" s="22" t="s">
        <v>113</v>
      </c>
      <c r="C44" s="26">
        <f>SUM(C42:C43)</f>
        <v>1</v>
      </c>
      <c r="D44" s="22"/>
      <c r="E44" s="23">
        <f>SUM(E42:E43)</f>
        <v>241096.30766400002</v>
      </c>
      <c r="F44" s="22"/>
      <c r="G44" s="23">
        <f>SUM(G42:G43)</f>
        <v>60274.076916000005</v>
      </c>
      <c r="H44" s="22"/>
    </row>
    <row r="46" spans="1:8" ht="15" customHeight="1" x14ac:dyDescent="0.25">
      <c r="A46" s="2" t="s">
        <v>114</v>
      </c>
      <c r="B46" s="2"/>
      <c r="C46" s="2"/>
      <c r="D46" s="2"/>
      <c r="E46" s="2"/>
      <c r="F46" s="2"/>
      <c r="G46" s="2"/>
      <c r="H46" s="2"/>
    </row>
    <row r="47" spans="1:8" ht="15" customHeight="1" x14ac:dyDescent="0.25">
      <c r="B47" s="16" t="s">
        <v>115</v>
      </c>
      <c r="E47" s="13">
        <f>$H$26</f>
        <v>0.16105522373263192</v>
      </c>
      <c r="G47" s="14" t="str">
        <f>IF($H$26&lt;=0.25,"PASS","FAIL")</f>
        <v>PASS</v>
      </c>
    </row>
    <row r="48" spans="1:8" ht="15" customHeight="1" x14ac:dyDescent="0.25">
      <c r="B48" s="16" t="s">
        <v>116</v>
      </c>
      <c r="E48" s="13">
        <f>$H$29</f>
        <v>0.83894477626736808</v>
      </c>
      <c r="G48" s="14" t="str">
        <f>IF($H$29&gt;=0.7,"PASS","FAIL")</f>
        <v>PASS</v>
      </c>
    </row>
    <row r="49" spans="2:7" ht="15" customHeight="1" x14ac:dyDescent="0.25">
      <c r="B49" s="16" t="s">
        <v>117</v>
      </c>
      <c r="E49" s="13">
        <f>$F$38</f>
        <v>0.99999999999999989</v>
      </c>
      <c r="G49" s="14" t="str">
        <f>IF(ROUND($F$38,4)=1,"PASS","FAIL")</f>
        <v>PASS</v>
      </c>
    </row>
    <row r="50" spans="2:7" ht="15" customHeight="1" x14ac:dyDescent="0.25">
      <c r="B50" s="16" t="s">
        <v>118</v>
      </c>
      <c r="E50" s="13">
        <f>$C$42+$C$43</f>
        <v>1</v>
      </c>
      <c r="G50" s="14" t="str">
        <f>IF(ROUND($C$42+$C$43,4)=1,"PASS","FAIL")</f>
        <v>PASS</v>
      </c>
    </row>
    <row r="51" spans="2:7" ht="15" customHeight="1" x14ac:dyDescent="0.25">
      <c r="B51" s="16" t="s">
        <v>119</v>
      </c>
      <c r="E51" s="15">
        <f>$E$42</f>
        <v>120548.15383200001</v>
      </c>
      <c r="G51" s="14" t="str">
        <f>IF($E$42&gt;=150000,IF($E$42&lt;=200000,"PASS","ABOVE"),"BELOW")</f>
        <v>BELOW</v>
      </c>
    </row>
    <row r="52" spans="2:7" ht="15" customHeight="1" x14ac:dyDescent="0.25">
      <c r="B52" s="16" t="s">
        <v>120</v>
      </c>
      <c r="E52" s="15">
        <f>$E$43</f>
        <v>120548.15383200001</v>
      </c>
      <c r="G52" s="14" t="str">
        <f>IF($E$43&gt;=150000,IF($E$43&lt;=200000,"PASS","ABOVE"),"BELOW")</f>
        <v>BELOW</v>
      </c>
    </row>
  </sheetData>
  <mergeCells count="8">
    <mergeCell ref="A31:H31"/>
    <mergeCell ref="A40:H40"/>
    <mergeCell ref="A46:H46"/>
    <mergeCell ref="A1:H1"/>
    <mergeCell ref="A2:H2"/>
    <mergeCell ref="A5:H5"/>
    <mergeCell ref="A12:H12"/>
    <mergeCell ref="A28:H28"/>
  </mergeCells>
  <conditionalFormatting sqref="G47">
    <cfRule type="expression" dxfId="15" priority="6">
      <formula>$G$47="PASS"</formula>
    </cfRule>
    <cfRule type="expression" dxfId="14" priority="7">
      <formula>OR($G$47="FAIL",$G$47="BELOW",$G$47="ABOVE")</formula>
    </cfRule>
  </conditionalFormatting>
  <conditionalFormatting sqref="G48">
    <cfRule type="expression" dxfId="13" priority="8">
      <formula>$G$48="PASS"</formula>
    </cfRule>
    <cfRule type="expression" dxfId="12" priority="9">
      <formula>OR($G$48="FAIL",$G$48="BELOW",$G$48="ABOVE")</formula>
    </cfRule>
  </conditionalFormatting>
  <conditionalFormatting sqref="G49">
    <cfRule type="expression" dxfId="11" priority="10">
      <formula>$G$49="PASS"</formula>
    </cfRule>
    <cfRule type="expression" dxfId="10" priority="11">
      <formula>OR($G$49="FAIL",$G$49="BELOW",$G$49="ABOVE")</formula>
    </cfRule>
  </conditionalFormatting>
  <conditionalFormatting sqref="G50">
    <cfRule type="expression" dxfId="9" priority="12">
      <formula>$G$50="PASS"</formula>
    </cfRule>
    <cfRule type="expression" dxfId="8" priority="13">
      <formula>OR($G$50="FAIL",$G$50="BELOW",$G$50="ABOVE")</formula>
    </cfRule>
  </conditionalFormatting>
  <conditionalFormatting sqref="G51">
    <cfRule type="expression" dxfId="7" priority="14">
      <formula>$G$51="PASS"</formula>
    </cfRule>
    <cfRule type="expression" dxfId="6" priority="15">
      <formula>OR($G$51="FAIL",$G$51="BELOW",$G$51="ABOVE")</formula>
    </cfRule>
  </conditionalFormatting>
  <conditionalFormatting sqref="G52">
    <cfRule type="expression" dxfId="5" priority="16">
      <formula>$G$52="PASS"</formula>
    </cfRule>
    <cfRule type="expression" dxfId="4" priority="17">
      <formula>OR($G$52="FAIL",$G$52="BELOW",$G$52="ABOVE")</formula>
    </cfRule>
  </conditionalFormatting>
  <conditionalFormatting sqref="H26">
    <cfRule type="cellIs" dxfId="3" priority="2" operator="greaterThan">
      <formula>0.25</formula>
    </cfRule>
    <cfRule type="cellIs" dxfId="2" priority="3" operator="lessThanOrEqual">
      <formula>0.25</formula>
    </cfRule>
  </conditionalFormatting>
  <conditionalFormatting sqref="H29">
    <cfRule type="cellIs" dxfId="1" priority="4" operator="lessThan">
      <formula>0.7</formula>
    </cfRule>
    <cfRule type="cellIs" dxfId="0" priority="5" operator="greaterThanOrEqual">
      <formula>0.7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70" customWidth="1"/>
  </cols>
  <sheetData>
    <row r="1" spans="1:6" ht="19.5" customHeight="1" x14ac:dyDescent="0.3">
      <c r="A1" s="10" t="s">
        <v>121</v>
      </c>
      <c r="B1" s="10"/>
      <c r="C1" s="10"/>
    </row>
    <row r="3" spans="1:6" ht="37.5" customHeight="1" x14ac:dyDescent="0.25">
      <c r="A3" s="12" t="s">
        <v>122</v>
      </c>
      <c r="B3" s="1" t="s">
        <v>123</v>
      </c>
      <c r="C3" s="1"/>
      <c r="D3" s="1"/>
      <c r="E3" s="1"/>
      <c r="F3" s="1"/>
    </row>
    <row r="4" spans="1:6" ht="37.5" customHeight="1" x14ac:dyDescent="0.25">
      <c r="A4" s="12" t="s">
        <v>124</v>
      </c>
      <c r="B4" s="1" t="s">
        <v>125</v>
      </c>
      <c r="C4" s="1"/>
      <c r="D4" s="1"/>
      <c r="E4" s="1"/>
      <c r="F4" s="1"/>
    </row>
    <row r="5" spans="1:6" ht="37.5" customHeight="1" x14ac:dyDescent="0.25">
      <c r="A5" s="12" t="s">
        <v>126</v>
      </c>
      <c r="B5" s="1" t="s">
        <v>127</v>
      </c>
      <c r="C5" s="1"/>
      <c r="D5" s="1"/>
      <c r="E5" s="1"/>
      <c r="F5" s="1"/>
    </row>
    <row r="6" spans="1:6" ht="37.5" customHeight="1" x14ac:dyDescent="0.25">
      <c r="A6" s="12" t="s">
        <v>128</v>
      </c>
      <c r="B6" s="1" t="s">
        <v>129</v>
      </c>
      <c r="C6" s="1"/>
      <c r="D6" s="1"/>
      <c r="E6" s="1"/>
      <c r="F6" s="1"/>
    </row>
    <row r="7" spans="1:6" ht="37.5" customHeight="1" x14ac:dyDescent="0.25">
      <c r="A7" s="12" t="s">
        <v>130</v>
      </c>
      <c r="B7" s="1" t="s">
        <v>131</v>
      </c>
      <c r="C7" s="1"/>
      <c r="D7" s="1"/>
      <c r="E7" s="1"/>
      <c r="F7" s="1"/>
    </row>
    <row r="8" spans="1:6" ht="37.5" customHeight="1" x14ac:dyDescent="0.25">
      <c r="A8" s="12" t="s">
        <v>132</v>
      </c>
      <c r="B8" s="1" t="s">
        <v>133</v>
      </c>
      <c r="C8" s="1"/>
      <c r="D8" s="1"/>
      <c r="E8" s="1"/>
      <c r="F8" s="1"/>
    </row>
    <row r="9" spans="1:6" ht="37.5" customHeight="1" x14ac:dyDescent="0.25">
      <c r="A9" s="12" t="s">
        <v>134</v>
      </c>
      <c r="B9" s="1" t="s">
        <v>135</v>
      </c>
      <c r="C9" s="1"/>
      <c r="D9" s="1"/>
      <c r="E9" s="1"/>
      <c r="F9" s="1"/>
    </row>
    <row r="10" spans="1:6" ht="37.5" customHeight="1" x14ac:dyDescent="0.25">
      <c r="A10" s="12" t="s">
        <v>136</v>
      </c>
      <c r="B10" s="1" t="s">
        <v>137</v>
      </c>
      <c r="C10" s="1"/>
      <c r="D10" s="1"/>
      <c r="E10" s="1"/>
      <c r="F10" s="1"/>
    </row>
    <row r="11" spans="1:6" ht="37.5" customHeight="1" x14ac:dyDescent="0.25">
      <c r="A11" s="12" t="s">
        <v>138</v>
      </c>
      <c r="B11" s="1" t="s">
        <v>139</v>
      </c>
      <c r="C11" s="1"/>
      <c r="D11" s="1"/>
      <c r="E11" s="1"/>
      <c r="F11" s="1"/>
    </row>
  </sheetData>
  <mergeCells count="10">
    <mergeCell ref="B7:F7"/>
    <mergeCell ref="B8:F8"/>
    <mergeCell ref="B9:F9"/>
    <mergeCell ref="B10:F10"/>
    <mergeCell ref="B11:F11"/>
    <mergeCell ref="A1:C1"/>
    <mergeCell ref="B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2027 Budget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Brusnahan</cp:lastModifiedBy>
  <cp:revision>0</cp:revision>
  <dcterms:created xsi:type="dcterms:W3CDTF">2026-05-08T21:18:46Z</dcterms:created>
  <dcterms:modified xsi:type="dcterms:W3CDTF">2026-05-08T21:29:10Z</dcterms:modified>
  <dc:language>en-US</dc:language>
</cp:coreProperties>
</file>